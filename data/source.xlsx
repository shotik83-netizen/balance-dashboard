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borindyu\Desktop\Сайты\Баланс взаиморасчетов\"/>
    </mc:Choice>
  </mc:AlternateContent>
  <xr:revisionPtr revIDLastSave="0" documentId="13_ncr:1_{B0503532-01EE-4E9B-AB5A-2B1A05506E73}" xr6:coauthVersionLast="47" xr6:coauthVersionMax="47" xr10:uidLastSave="{00000000-0000-0000-0000-000000000000}"/>
  <bookViews>
    <workbookView xWindow="-120" yWindow="-120" windowWidth="29040" windowHeight="15720" xr2:uid="{86DEA399-16A0-4AB2-98C8-49CFCEF745FC}"/>
  </bookViews>
  <sheets>
    <sheet name="БАЛАНС РУКОВОДСТВУ руб. с НДС" sheetId="1" r:id="rId1"/>
    <sheet name="Баланс ФЭК (валюта) с НДС" sheetId="2" r:id="rId2"/>
    <sheet name="Баланс ФЭК (валюта) без НДС" sheetId="3" r:id="rId3"/>
    <sheet name="Преза НЗП без НДС" sheetId="4" r:id="rId4"/>
  </sheets>
  <definedNames>
    <definedName name="\" hidden="1">{"NWN_Q1810",#N/A,FALSE,"Q1810_1.V";"NWN_Q1412",#N/A,FALSE,"Q1412_1"}</definedName>
    <definedName name="\\" hidden="1">{#N/A,#N/A,FALSE,"ZAP_FEB.XLS "}</definedName>
    <definedName name="\\\" hidden="1">{#N/A,#N/A,FALSE,"ZAP_FEB.XLS "}</definedName>
    <definedName name="\\\\" hidden="1">{#N/A,#N/A,FALSE,"ZAP_FEB.XLS "}</definedName>
    <definedName name="\0">#REF!</definedName>
    <definedName name="\a">#REF!</definedName>
    <definedName name="\b">#N/A</definedName>
    <definedName name="\d">#REF!</definedName>
    <definedName name="\L">#REF!</definedName>
    <definedName name="\m">#REF!</definedName>
    <definedName name="\N">#REF!</definedName>
    <definedName name="\nnnnnn" hidden="1">{#N/A,#N/A,FALSE,"ZAP_FEB.XLS "}</definedName>
    <definedName name="\O">#REF!</definedName>
    <definedName name="\p">#N/A</definedName>
    <definedName name="\Q">#REF!</definedName>
    <definedName name="\r">#REF!</definedName>
    <definedName name="\s">#REF!</definedName>
    <definedName name="\t">#REF!</definedName>
    <definedName name="\V">#REF!</definedName>
    <definedName name="\x">#REF!</definedName>
    <definedName name="\y">#REF!</definedName>
    <definedName name="\z">#REF!</definedName>
    <definedName name="_">#REF!</definedName>
    <definedName name="_.5_160">#REF!</definedName>
    <definedName name="_.5_80">#REF!</definedName>
    <definedName name="_.5_XXS">#REF!</definedName>
    <definedName name="_.75_160">#REF!</definedName>
    <definedName name="_.75_80">#REF!</definedName>
    <definedName name="_.75_XXS">#REF!</definedName>
    <definedName name="__" hidden="1">#REF!,#REF!</definedName>
    <definedName name="___" hidden="1">#REF!</definedName>
    <definedName name="____" hidden="1">#REF!</definedName>
    <definedName name="_____" hidden="1">#REF!</definedName>
    <definedName name="___________ot97" hidden="1">#REF!,#REF!,#REF!,#REF!,#REF!,#REF!,#REF!</definedName>
    <definedName name="__________ot97" hidden="1">#REF!,#REF!,#REF!,#REF!,#REF!,#REF!,#REF!</definedName>
    <definedName name="_________ot97" hidden="1">#REF!,#REF!,#REF!,#REF!,#REF!,#REF!,#REF!</definedName>
    <definedName name="_________xlfn.SUMIFS" hidden="1">#NAME?</definedName>
    <definedName name="________ot97" hidden="1">#REF!,#REF!,#REF!,#REF!,#REF!,#REF!,#REF!</definedName>
    <definedName name="________xlfn.SUMIFS" hidden="1">#NAME?</definedName>
    <definedName name="_______ot97" hidden="1">#REF!,#REF!,#REF!,#REF!,#REF!,#REF!,#REF!</definedName>
    <definedName name="_______xlfn.SUMIFS" hidden="1">#NAME?</definedName>
    <definedName name="______0" hidden="1">#REF!</definedName>
    <definedName name="______ot97" hidden="1">#REF!,#REF!,#REF!,#REF!,#REF!,#REF!,#REF!</definedName>
    <definedName name="______xlfn.SUMIFS" hidden="1">#NAME?</definedName>
    <definedName name="_____a1" hidden="1">{#N/A,#N/A,FALSE,"Закрытые кредиты"}</definedName>
    <definedName name="_____a2" hidden="1">{#N/A,#N/A,FALSE,"Закрытые кредиты"}</definedName>
    <definedName name="_____a3" hidden="1">{#N/A,#N/A,FALSE,"Закрытые кредиты"}</definedName>
    <definedName name="_____a4" hidden="1">{#N/A,#N/A,FALSE,"Закрытые кредиты"}</definedName>
    <definedName name="_____a5" hidden="1">{#N/A,#N/A,FALSE,"Закрытые кредиты"}</definedName>
    <definedName name="_____a6" hidden="1">{#N/A,#N/A,FALSE,"Закрытые кредиты"}</definedName>
    <definedName name="_____BAC110">#REF!</definedName>
    <definedName name="_____BAC120">#REF!</definedName>
    <definedName name="_____BAC125">#REF!</definedName>
    <definedName name="_____BAC130">#REF!</definedName>
    <definedName name="_____BAC135">#REF!</definedName>
    <definedName name="_____BAC140">#REF!</definedName>
    <definedName name="_____BAC145">#REF!</definedName>
    <definedName name="_____BAC150">#REF!</definedName>
    <definedName name="_____BAC155">#REF!</definedName>
    <definedName name="_____BAC160">#REF!</definedName>
    <definedName name="_____BAC165">#REF!</definedName>
    <definedName name="_____BAC170">#REF!</definedName>
    <definedName name="_____BAC180">#REF!</definedName>
    <definedName name="_____BAC190">#REF!</definedName>
    <definedName name="_____dsjhiashgias" hidden="1">#REF!</definedName>
    <definedName name="_____ghg1" hidden="1">{#N/A,#N/A,FALSE,"Себестоимсть-97"}</definedName>
    <definedName name="_____hk4645" hidden="1">{#N/A,#N/A,FALSE,"ihz. icmal";#N/A,#N/A,FALSE,"avans";#N/A,#N/A,FALSE,"mal_FF_icm";#N/A,#N/A,FALSE,"fat_ihz";#N/A,#N/A,FALSE,"söz_fiy_fark";#N/A,#N/A,FALSE,"kap2"}</definedName>
    <definedName name="_____mmm1" hidden="1">{#N/A,#N/A,FALSE,"Себестоимсть-97"}</definedName>
    <definedName name="_____NGd1">#REF!</definedName>
    <definedName name="_____NGd10">#REF!</definedName>
    <definedName name="_____NGd12">#REF!</definedName>
    <definedName name="_____NGd13">#REF!</definedName>
    <definedName name="_____NGd14">#REF!</definedName>
    <definedName name="_____NGd15">#REF!</definedName>
    <definedName name="_____NGd2">#REF!</definedName>
    <definedName name="_____NGd3">#REF!</definedName>
    <definedName name="_____NGd4">#REF!</definedName>
    <definedName name="_____NGd5">#REF!</definedName>
    <definedName name="_____NGd6">#REF!</definedName>
    <definedName name="_____NGd7">#REF!</definedName>
    <definedName name="_____NGd8">#REF!</definedName>
    <definedName name="_____NGd9">#REF!</definedName>
    <definedName name="_____NPa1">#REF!</definedName>
    <definedName name="_____NPa10">#REF!</definedName>
    <definedName name="_____NPa2">#REF!</definedName>
    <definedName name="_____NPa3">#REF!</definedName>
    <definedName name="_____NPa4">#REF!</definedName>
    <definedName name="_____NPa5">#REF!</definedName>
    <definedName name="_____NPa6">#REF!</definedName>
    <definedName name="_____NPa7">#REF!</definedName>
    <definedName name="_____NPa8">#REF!</definedName>
    <definedName name="_____NPa9">#REF!</definedName>
    <definedName name="_____NSp1">#REF!</definedName>
    <definedName name="_____ot97" hidden="1">#REF!,#REF!,#REF!,#REF!,#REF!,#REF!,#REF!</definedName>
    <definedName name="_____xlfn.SUMIFS" hidden="1">#NAME?</definedName>
    <definedName name="____BAC110">#REF!</definedName>
    <definedName name="____BAC120">#REF!</definedName>
    <definedName name="____BAC125">#REF!</definedName>
    <definedName name="____BAC130">#REF!</definedName>
    <definedName name="____BAC135">#REF!</definedName>
    <definedName name="____BAC140">#REF!</definedName>
    <definedName name="____BAC145">#REF!</definedName>
    <definedName name="____BAC150">#REF!</definedName>
    <definedName name="____BAC155">#REF!</definedName>
    <definedName name="____BAC160">#REF!</definedName>
    <definedName name="____BAC165">#REF!</definedName>
    <definedName name="____BAC170">#REF!</definedName>
    <definedName name="____BAC180">#REF!</definedName>
    <definedName name="____BAC190">#REF!</definedName>
    <definedName name="____cat1">#REF!</definedName>
    <definedName name="____ghg1" hidden="1">{#N/A,#N/A,FALSE,"Себестоимсть-97"}</definedName>
    <definedName name="____hk4645" hidden="1">{#N/A,#N/A,FALSE,"ihz. icmal";#N/A,#N/A,FALSE,"avans";#N/A,#N/A,FALSE,"mal_FF_icm";#N/A,#N/A,FALSE,"fat_ihz";#N/A,#N/A,FALSE,"söz_fiy_fark";#N/A,#N/A,FALSE,"kap2"}</definedName>
    <definedName name="____mmm1" hidden="1">{#N/A,#N/A,FALSE,"Себестоимсть-97"}</definedName>
    <definedName name="____NGd1">#REF!</definedName>
    <definedName name="____NGd10">#REF!</definedName>
    <definedName name="____NGd12">#REF!</definedName>
    <definedName name="____NGd13">#REF!</definedName>
    <definedName name="____NGd14">#REF!</definedName>
    <definedName name="____NGd15">#REF!</definedName>
    <definedName name="____NGd2">#REF!</definedName>
    <definedName name="____NGd3">#REF!</definedName>
    <definedName name="____NGd4">#REF!</definedName>
    <definedName name="____NGd5">#REF!</definedName>
    <definedName name="____NGd6">#REF!</definedName>
    <definedName name="____NGd7">#REF!</definedName>
    <definedName name="____NGd8">#REF!</definedName>
    <definedName name="____NGd9">#REF!</definedName>
    <definedName name="____NN1">#REF!</definedName>
    <definedName name="____NPa1">#REF!</definedName>
    <definedName name="____NPa10">#REF!</definedName>
    <definedName name="____NPa2">#REF!</definedName>
    <definedName name="____NPa3">#REF!</definedName>
    <definedName name="____NPa4">#REF!</definedName>
    <definedName name="____NPa5">#REF!</definedName>
    <definedName name="____NPa6">#REF!</definedName>
    <definedName name="____NPa7">#REF!</definedName>
    <definedName name="____NPa8">#REF!</definedName>
    <definedName name="____NPa9">#REF!</definedName>
    <definedName name="____NSp1">#REF!</definedName>
    <definedName name="____ot97" hidden="1">#REF!,#REF!,#REF!,#REF!,#REF!,#REF!,#REF!</definedName>
    <definedName name="____Pos1">#REF!</definedName>
    <definedName name="____PU1">#REF!</definedName>
    <definedName name="____Rev1">#REF!</definedName>
    <definedName name="____Rev2">#REF!</definedName>
    <definedName name="____Rev3">#REF!</definedName>
    <definedName name="____Rev4">#REF!</definedName>
    <definedName name="____xlfn.SUMIFS" hidden="1">#NAME?</definedName>
    <definedName name="___a1" hidden="1">{#N/A,#N/A,FALSE,"Закрытые кредиты"}</definedName>
    <definedName name="___a2" hidden="1">{#N/A,#N/A,FALSE,"Закрытые кредиты"}</definedName>
    <definedName name="___a3" hidden="1">{#N/A,#N/A,FALSE,"Закрытые кредиты"}</definedName>
    <definedName name="___a4" hidden="1">{#N/A,#N/A,FALSE,"Закрытые кредиты"}</definedName>
    <definedName name="___a5" hidden="1">{#N/A,#N/A,FALSE,"Закрытые кредиты"}</definedName>
    <definedName name="___a6" hidden="1">{#N/A,#N/A,FALSE,"Закрытые кредиты"}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BAC110">#REF!</definedName>
    <definedName name="___BAC120">#REF!</definedName>
    <definedName name="___BAC125">#REF!</definedName>
    <definedName name="___BAC130">#REF!</definedName>
    <definedName name="___BAC135">#REF!</definedName>
    <definedName name="___BAC140">#REF!</definedName>
    <definedName name="___BAC145">#REF!</definedName>
    <definedName name="___BAC150">#REF!</definedName>
    <definedName name="___BAC155">#REF!</definedName>
    <definedName name="___BAC160">#REF!</definedName>
    <definedName name="___BAC165">#REF!</definedName>
    <definedName name="___BAC170">#REF!</definedName>
    <definedName name="___BAC180">#REF!</definedName>
    <definedName name="___BAC190">#REF!</definedName>
    <definedName name="___cat1">#REF!</definedName>
    <definedName name="___ccr1" hidden="1">{#N/A,#N/A,TRUE,"Cover";#N/A,#N/A,TRUE,"Conts";#N/A,#N/A,TRUE,"VOS";#N/A,#N/A,TRUE,"Warrington";#N/A,#N/A,TRUE,"Widnes"}</definedName>
    <definedName name="___F07" hidden="1">#REF!</definedName>
    <definedName name="___ghg1" hidden="1">{#N/A,#N/A,FALSE,"Себестоимсть-97"}</definedName>
    <definedName name="___hk4645" hidden="1">{#N/A,#N/A,FALSE,"ihz. icmal";#N/A,#N/A,FALSE,"avans";#N/A,#N/A,FALSE,"mal_FF_icm";#N/A,#N/A,FALSE,"fat_ihz";#N/A,#N/A,FALSE,"söz_fiy_fark";#N/A,#N/A,FALSE,"kap2"}</definedName>
    <definedName name="___mmm1" hidden="1">{#N/A,#N/A,FALSE,"Себестоимсть-97"}</definedName>
    <definedName name="___NGd1">#REF!</definedName>
    <definedName name="___NGd10">#REF!</definedName>
    <definedName name="___NGd12">#REF!</definedName>
    <definedName name="___NGd13">#REF!</definedName>
    <definedName name="___NGd14">#REF!</definedName>
    <definedName name="___NGd15">#REF!</definedName>
    <definedName name="___NGd2">#REF!</definedName>
    <definedName name="___NGd3">#REF!</definedName>
    <definedName name="___NGd4">#REF!</definedName>
    <definedName name="___NGd5">#REF!</definedName>
    <definedName name="___NGd6">#REF!</definedName>
    <definedName name="___NGd7">#REF!</definedName>
    <definedName name="___NGd8">#REF!</definedName>
    <definedName name="___NGd9">#REF!</definedName>
    <definedName name="___NN1">#REF!</definedName>
    <definedName name="___NPa1">#REF!</definedName>
    <definedName name="___NPa10">#REF!</definedName>
    <definedName name="___NPa2">#REF!</definedName>
    <definedName name="___NPa3">#REF!</definedName>
    <definedName name="___NPa4">#REF!</definedName>
    <definedName name="___NPa5">#REF!</definedName>
    <definedName name="___NPa6">#REF!</definedName>
    <definedName name="___NPa7">#REF!</definedName>
    <definedName name="___NPa8">#REF!</definedName>
    <definedName name="___NPa9">#REF!</definedName>
    <definedName name="___NSp1">#REF!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t97" hidden="1">#REF!,#REF!,#REF!,#REF!,#REF!,#REF!,#REF!</definedName>
    <definedName name="___Pos1">#REF!</definedName>
    <definedName name="___PU1">#REF!</definedName>
    <definedName name="___Rev1">#REF!</definedName>
    <definedName name="___Rev2">#REF!</definedName>
    <definedName name="___Rev3">#REF!</definedName>
    <definedName name="___Rev4">#REF!</definedName>
    <definedName name="___VR030" hidden="1">{"'Monthly Report'!$A$1:$L$34"}</definedName>
    <definedName name="___Wetwetwetw" hidden="1">#REF!</definedName>
    <definedName name="___xlfn.BAHTTEXT" hidden="1">#NAME?</definedName>
    <definedName name="___xlfn.SUMIFS" hidden="1">#NAME?</definedName>
    <definedName name="__0_" hidden="1">#REF!</definedName>
    <definedName name="__1__123Graph_ACHART_1" hidden="1">#REF!</definedName>
    <definedName name="__1__123Graph_AChart_1A" hidden="1">#REF!</definedName>
    <definedName name="__123" hidden="1">#REF!</definedName>
    <definedName name="__123Graph" hidden="1">#N/A</definedName>
    <definedName name="__123Graph_A" hidden="1">#REF!</definedName>
    <definedName name="__123Graph_AADMINISTRATION" hidden="1">#REF!</definedName>
    <definedName name="__123Graph_ACRPIE90" hidden="1">#N/A</definedName>
    <definedName name="__123Graph_ACRPIE91" hidden="1">#N/A</definedName>
    <definedName name="__123Graph_ACRPIE92" hidden="1">#N/A</definedName>
    <definedName name="__123Graph_ACRPIE93" hidden="1">#N/A</definedName>
    <definedName name="__123Graph_AGRANDTOTAL" hidden="1">#REF!</definedName>
    <definedName name="__123Graph_AGRANDTOTALC" hidden="1">#REF!</definedName>
    <definedName name="__123Graph_AGraph1" hidden="1">#REF!</definedName>
    <definedName name="__123Graph_AGraph2" hidden="1">#REF!</definedName>
    <definedName name="__123Graph_AGraph3" hidden="1">#N/A</definedName>
    <definedName name="__123Graph_AGraph4" hidden="1">#N/A</definedName>
    <definedName name="__123Graph_AMPHISTG" hidden="1">#REF!</definedName>
    <definedName name="__123Graph_APERFORMANCE" hidden="1">#REF!</definedName>
    <definedName name="__123Graph_APIPING" hidden="1">#REF!</definedName>
    <definedName name="__123Graph_Aｶﾚﾝﾄ" hidden="1">#REF!</definedName>
    <definedName name="__123Graph_B" hidden="1">#REF!</definedName>
    <definedName name="__123Graph_BADMINISTRATION" hidden="1">#REF!</definedName>
    <definedName name="__123Graph_BChart" hidden="1">#REF!</definedName>
    <definedName name="__123Graph_BGRANDTOTAL" hidden="1">#REF!</definedName>
    <definedName name="__123Graph_BGRANDTOTALC" hidden="1">#REF!</definedName>
    <definedName name="__123Graph_BGraph1" hidden="1">#REF!</definedName>
    <definedName name="__123Graph_BGraph2" hidden="1">#REF!</definedName>
    <definedName name="__123Graph_BGraph3" hidden="1">#REF!</definedName>
    <definedName name="__123Graph_BGraph4" hidden="1">#REF!</definedName>
    <definedName name="__123Graph_BGraph5" hidden="1">#REF!</definedName>
    <definedName name="__123Graph_BGraph6" hidden="1">#REF!</definedName>
    <definedName name="__123Graph_BGraph7" hidden="1">#REF!</definedName>
    <definedName name="__123Graph_BGraph8" hidden="1">#REF!</definedName>
    <definedName name="__123Graph_BGraph9" hidden="1">#REF!</definedName>
    <definedName name="__123Graph_BPERFORMANCE" hidden="1">#REF!</definedName>
    <definedName name="__123Graph_BPIPING" hidden="1">#REF!</definedName>
    <definedName name="__123Graph_Bｶﾚﾝﾄ" hidden="1">#REF!</definedName>
    <definedName name="__123Graph_C" hidden="1">#REF!</definedName>
    <definedName name="__123Graph_CADMINISTRATION" hidden="1">#REF!</definedName>
    <definedName name="__123Graph_CGRANDTOTAL" hidden="1">#REF!</definedName>
    <definedName name="__123Graph_CGRANDTOTALC" hidden="1">#REF!</definedName>
    <definedName name="__123Graph_CGraph1" hidden="1">#REF!</definedName>
    <definedName name="__123Graph_CGraph2" hidden="1">#REF!</definedName>
    <definedName name="__123Graph_CPIPING" hidden="1">#REF!</definedName>
    <definedName name="__123Graph_Cｶﾚﾝﾄ" hidden="1">#REF!</definedName>
    <definedName name="__123Graph_D" hidden="1">#REF!</definedName>
    <definedName name="__123Graph_DADMINISTRATION" hidden="1">#REF!</definedName>
    <definedName name="__123Graph_DGRANDTOTAL" hidden="1">#REF!</definedName>
    <definedName name="__123Graph_DGRANDTOTALC" hidden="1">#REF!</definedName>
    <definedName name="__123Graph_DGraph1" hidden="1">#REF!</definedName>
    <definedName name="__123Graph_DGraph2" hidden="1">#REF!</definedName>
    <definedName name="__123Graph_DPIPING" hidden="1">#REF!</definedName>
    <definedName name="__123Graph_Dｶﾚﾝﾄ" hidden="1">#REF!</definedName>
    <definedName name="__123Graph_E" hidden="1">#REF!</definedName>
    <definedName name="__123Graph_EADMINISTRATION" hidden="1">#REF!</definedName>
    <definedName name="__123Graph_EGRANDTOTAL" hidden="1">#REF!</definedName>
    <definedName name="__123Graph_EGRANDTOTALC" hidden="1">#REF!</definedName>
    <definedName name="__123Graph_EGraph1" hidden="1">#REF!</definedName>
    <definedName name="__123Graph_EGraph2" hidden="1">#REF!</definedName>
    <definedName name="__123Graph_EPIPING" hidden="1">#REF!</definedName>
    <definedName name="__123Graph_Eｶﾚﾝﾄ" hidden="1">#REF!</definedName>
    <definedName name="__123Graph_F" hidden="1">#REF!</definedName>
    <definedName name="__123Graph_FADMINISTRATION" hidden="1">#REF!</definedName>
    <definedName name="__123Graph_FGRANDTOTAL" hidden="1">#REF!</definedName>
    <definedName name="__123Graph_FGraph1" hidden="1">#REF!</definedName>
    <definedName name="__123Graph_FGraph2" hidden="1">#REF!</definedName>
    <definedName name="__123Graph_FPIPING" hidden="1">#REF!</definedName>
    <definedName name="__123Graph_Fｶﾚﾝﾄ" hidden="1">#REF!</definedName>
    <definedName name="__123Graph_LBL_A" hidden="1">#N/A</definedName>
    <definedName name="__123Graph_LBL_ACRPIE90" hidden="1">#N/A</definedName>
    <definedName name="__123Graph_LBL_ACRPIE91" hidden="1">#N/A</definedName>
    <definedName name="__123Graph_LBL_ACRPIE92" hidden="1">#N/A</definedName>
    <definedName name="__123Graph_LBL_ACRPIE93" hidden="1">#N/A</definedName>
    <definedName name="__123Graph_LBL_AGRAPH1" hidden="1">#REF!</definedName>
    <definedName name="__123Graph_X" hidden="1">#REF!</definedName>
    <definedName name="__123Graph_XGraph1" hidden="1">#N/A</definedName>
    <definedName name="__123Graph_XGraph2" hidden="1">#N/A</definedName>
    <definedName name="__123Graph_XGraph3" hidden="1">#N/A</definedName>
    <definedName name="__123Graph_XGraph4" hidden="1">#N/A</definedName>
    <definedName name="__123Graph_XGraph5" hidden="1">#REF!</definedName>
    <definedName name="__123Graph_XGraph6" hidden="1">#REF!</definedName>
    <definedName name="__123Graph_XGraph7" hidden="1">#REF!</definedName>
    <definedName name="__123Graph_XGraph8" hidden="1">#REF!</definedName>
    <definedName name="__123Graph_XGraph9" hidden="1">#REF!</definedName>
    <definedName name="__123Graph_XMPHISTG" hidden="1">#REF!</definedName>
    <definedName name="__123Graph_XPERFORMANCE" hidden="1">#REF!</definedName>
    <definedName name="__2__123Graph_BChart_1A" hidden="1">#REF!</definedName>
    <definedName name="__a1" hidden="1">{#N/A,#N/A,FALSE,"Закрытые кредиты"}</definedName>
    <definedName name="__a2" hidden="1">{#N/A,#N/A,FALSE,"Закрытые кредиты"}</definedName>
    <definedName name="__a3" hidden="1">{#N/A,#N/A,FALSE,"Закрытые кредиты"}</definedName>
    <definedName name="__a4" hidden="1">{#N/A,#N/A,FALSE,"Закрытые кредиты"}</definedName>
    <definedName name="__a5" hidden="1">{#N/A,#N/A,FALSE,"Закрытые кредиты"}</definedName>
    <definedName name="__a6" hidden="1">{#N/A,#N/A,FALSE,"Закрытые кредиты"}</definedName>
    <definedName name="__A7" hidden="1">{"Calenquart",#N/A,FALSE,"Remedy-model";"fiscquarter",#N/A,FALSE,"Remedy-model"}</definedName>
    <definedName name="__A8" hidden="1">{#N/A,#N/A,FALSE,"earnings"}</definedName>
    <definedName name="__A9" hidden="1">{#N/A,#N/A,FALSE,"earnings"}</definedName>
    <definedName name="_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BAC110">#REF!</definedName>
    <definedName name="__BAC120">#REF!</definedName>
    <definedName name="__BAC125">#REF!</definedName>
    <definedName name="__BAC130">#REF!</definedName>
    <definedName name="__BAC135">#REF!</definedName>
    <definedName name="__BAC140">#REF!</definedName>
    <definedName name="__BAC145">#REF!</definedName>
    <definedName name="__BAC150">#REF!</definedName>
    <definedName name="__BAC155">#REF!</definedName>
    <definedName name="__BAC160">#REF!</definedName>
    <definedName name="__BAC165">#REF!</definedName>
    <definedName name="__BAC170">#REF!</definedName>
    <definedName name="__BAC180">#REF!</definedName>
    <definedName name="__BAC190">#REF!</definedName>
    <definedName name="__BP01" hidden="1">{#N/A,#N/A,FALSE,"TABLE"}</definedName>
    <definedName name="__cat1">#REF!</definedName>
    <definedName name="__ccr1" hidden="1">{#N/A,#N/A,TRUE,"Cover";#N/A,#N/A,TRUE,"Conts";#N/A,#N/A,TRUE,"VOS";#N/A,#N/A,TRUE,"Warrington";#N/A,#N/A,TRUE,"Widnes"}</definedName>
    <definedName name="__DCP1">#REF!</definedName>
    <definedName name="__DCP2">#REF!</definedName>
    <definedName name="__Description">#REF!</definedName>
    <definedName name="__F07" hidden="1">#REF!</definedName>
    <definedName name="__FDS_HYPERLINK_TOGGLE_STATE__" hidden="1">"ON"</definedName>
    <definedName name="__Fill" hidden="1">#REF!</definedName>
    <definedName name="__ghg1" hidden="1">{#N/A,#N/A,FALSE,"Себестоимсть-97"}</definedName>
    <definedName name="__Group">#REF!</definedName>
    <definedName name="__hk4645" hidden="1">{#N/A,#N/A,FALSE,"ihz. icmal";#N/A,#N/A,FALSE,"avans";#N/A,#N/A,FALSE,"mal_FF_icm";#N/A,#N/A,FALSE,"fat_ihz";#N/A,#N/A,FALSE,"söz_fiy_fark";#N/A,#N/A,FALSE,"kap2"}</definedName>
    <definedName name="__IntlFixup" hidden="1">TRUE</definedName>
    <definedName name="__IntlFixupTable" hidden="1">#REF!</definedName>
    <definedName name="__Key1" hidden="1">#REF!</definedName>
    <definedName name="__LongDescrip">#REF!</definedName>
    <definedName name="__mmm1" hidden="1">{#N/A,#N/A,FALSE,"Себестоимсть-97"}</definedName>
    <definedName name="__NN1">#REF!</definedName>
    <definedName name="__old3" hidden="1">{#N/A,#N/A,FALSE,"Summary";#N/A,#N/A,FALSE,"3TJ";#N/A,#N/A,FALSE,"3TN";#N/A,#N/A,FALSE,"3TP";#N/A,#N/A,FALSE,"3SJ";#N/A,#N/A,FALSE,"3CJ";#N/A,#N/A,FALSE,"3CN";#N/A,#N/A,FALSE,"3CP";#N/A,#N/A,FALSE,"3A"}</definedName>
    <definedName name="__old5" hidden="1">{#N/A,#N/A,FALSE,"Summary";#N/A,#N/A,FALSE,"3TJ";#N/A,#N/A,FALSE,"3TN";#N/A,#N/A,FALSE,"3TP";#N/A,#N/A,FALSE,"3SJ";#N/A,#N/A,FALSE,"3CJ";#N/A,#N/A,FALSE,"3CN";#N/A,#N/A,FALSE,"3CP";#N/A,#N/A,FALSE,"3A"}</definedName>
    <definedName name="__old7" hidden="1">{#N/A,#N/A,FALSE,"Summary";#N/A,#N/A,FALSE,"3TJ";#N/A,#N/A,FALSE,"3TN";#N/A,#N/A,FALSE,"3TP";#N/A,#N/A,FALSE,"3SJ";#N/A,#N/A,FALSE,"3CJ";#N/A,#N/A,FALSE,"3CN";#N/A,#N/A,FALSE,"3CP";#N/A,#N/A,FALSE,"3A"}</definedName>
    <definedName name="__ot97" hidden="1">#REF!,#REF!,#REF!,#REF!,#REF!,#REF!,#REF!</definedName>
    <definedName name="__PA3" hidden="1">{"'Sheet1'!$L$16"}</definedName>
    <definedName name="__Pos1">#REF!</definedName>
    <definedName name="__PU1">#REF!</definedName>
    <definedName name="__Rev">#REF!</definedName>
    <definedName name="__Rev1">#REF!</definedName>
    <definedName name="__Rev2">#REF!</definedName>
    <definedName name="__Rev3">#REF!</definedName>
    <definedName name="__Rev4">#REF!</definedName>
    <definedName name="__Sort" hidden="1">#REF!</definedName>
    <definedName name="__Sortt" hidden="1">#REF!</definedName>
    <definedName name="__Type">#REF!</definedName>
    <definedName name="__VR030" hidden="1">{"'Monthly Report'!$A$1:$L$34"}</definedName>
    <definedName name="__xlfn.BAHTTEXT" hidden="1">#NAME?</definedName>
    <definedName name="__xlfn.IFERROR" hidden="1">#NAME?</definedName>
    <definedName name="__xlfn.SUMIFS" hidden="1">#NAME?</definedName>
    <definedName name="__xlnm.Database">#N/A</definedName>
    <definedName name="_0">#REF!</definedName>
    <definedName name="_0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1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02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_0270_bomdata">#REF!</definedName>
    <definedName name="_1">#REF!</definedName>
    <definedName name="_1.5_160">#REF!</definedName>
    <definedName name="_1.5_XXS">#REF!</definedName>
    <definedName name="_1__123Graph_ACHART_1" hidden="1">#REF!</definedName>
    <definedName name="_1__123Graph_AChart_1A" hidden="1">#REF!</definedName>
    <definedName name="_1__123Graph_ACHART_4" hidden="1">#REF!</definedName>
    <definedName name="_1__123Graph_BChart_1A" hidden="1">#REF!</definedName>
    <definedName name="_1_0_0_F" hidden="1">#REF!</definedName>
    <definedName name="_1_0Market">#REF!</definedName>
    <definedName name="_1_160">#REF!</definedName>
    <definedName name="_1_80">#REF!</definedName>
    <definedName name="_1_RMB___NT">#REF!</definedName>
    <definedName name="_1_SAR___NT">#REF!</definedName>
    <definedName name="_1_STD">#REF!</definedName>
    <definedName name="_1_USD___NT">#REF!</definedName>
    <definedName name="_1_XXS">#REF!</definedName>
    <definedName name="_10__123Graph_XCHART_3" hidden="1">#REF!</definedName>
    <definedName name="_10__123Graph_XCHART_4" hidden="1">#REF!</definedName>
    <definedName name="_10_40">#REF!</definedName>
    <definedName name="_10_60">#REF!</definedName>
    <definedName name="_1000A01">#N/A</definedName>
    <definedName name="_10A29000_">#REF!</definedName>
    <definedName name="_10n5_" hidden="1">{#N/A,#N/A,FALSE,"Clients Office";#N/A,#N/A,FALSE,"Co Sum"}</definedName>
    <definedName name="_11__123Graph_XCHART_4" hidden="1">#REF!</definedName>
    <definedName name="_11A1_" hidden="1">{#N/A,#N/A,TRUE,"Basic";#N/A,#N/A,TRUE,"EXT-TABLE";#N/A,#N/A,TRUE,"STEEL";#N/A,#N/A,TRUE,"INT-Table";#N/A,#N/A,TRUE,"STEEL";#N/A,#N/A,TRUE,"Door"}</definedName>
    <definedName name="_11匯率表__EUR">#REF!</definedName>
    <definedName name="_12_60">#REF!</definedName>
    <definedName name="_12_80">#REF!</definedName>
    <definedName name="_12_STD">#REF!</definedName>
    <definedName name="_12345" hidden="1">#REF!</definedName>
    <definedName name="_123Graph_BChart1A" hidden="1">#REF!</definedName>
    <definedName name="_123Graph_BGRAPH2" hidden="1">#REF!</definedName>
    <definedName name="_123Graph_XGraph4" hidden="1">#N/A</definedName>
    <definedName name="_12n6_" hidden="1">{#N/A,#N/A,FALSE,"Field Rates";#N/A,#N/A,FALSE,"Field Sum"}</definedName>
    <definedName name="_12匯率表__USD">#REF!</definedName>
    <definedName name="_13__123Graph_BCHART_1" hidden="1">#REF!</definedName>
    <definedName name="_14_0_0_F" hidden="1">#REF!</definedName>
    <definedName name="_14_60">#REF!</definedName>
    <definedName name="_14_80">#REF!</definedName>
    <definedName name="_14_XS">#REF!</definedName>
    <definedName name="_14n7_" hidden="1">{#N/A,#N/A,FALSE,"HO Sum";#N/A,#N/A,FALSE,"HO Rates";#N/A,#N/A,FALSE,"Co Sum";#N/A,#N/A,FALSE,"Clients Office";#N/A,#N/A,FALSE,"Field Sum";#N/A,#N/A,FALSE,"Field Rates"}</definedName>
    <definedName name="_1510_03_____1520_03___1530_03">#REF!</definedName>
    <definedName name="_15F" hidden="1">#REF!</definedName>
    <definedName name="_16n8_" hidden="1">{#N/A,#N/A,FALSE,"HO Rates";#N/A,#N/A,FALSE,"HO Sum"}</definedName>
    <definedName name="_18__123Graph_LBL_ACHART_1" hidden="1">#REF!</definedName>
    <definedName name="_18_10">#REF!</definedName>
    <definedName name="_18_20">#REF!</definedName>
    <definedName name="_18_STD">#REF!</definedName>
    <definedName name="_18n9_" hidden="1">{#N/A,#N/A,FALSE,"HO Sum";#N/A,#N/A,FALSE,"HO Rates";#N/A,#N/A,FALSE,"Co Sum";#N/A,#N/A,FALSE,"Clients Office";#N/A,#N/A,FALSE,"Field Sum";#N/A,#N/A,FALSE,"Field Rates"}</definedName>
    <definedName name="_1A16500_">#REF!</definedName>
    <definedName name="_1F" hidden="1">#REF!</definedName>
    <definedName name="_2">#REF!</definedName>
    <definedName name="_2__123Graph_AChart_1A" hidden="1">#REF!</definedName>
    <definedName name="_2__123Graph_ACHART_2" hidden="1">#REF!</definedName>
    <definedName name="_2__123Graph_BCHART_1" hidden="1">#REF!</definedName>
    <definedName name="_2__123Graph_BChart_1A" hidden="1">#REF!</definedName>
    <definedName name="_2__123Graph_XCHART_3" hidden="1">#REF!</definedName>
    <definedName name="_2_0_0_F" hidden="1">#REF!</definedName>
    <definedName name="_2_40">#REF!</definedName>
    <definedName name="_2_80">#REF!</definedName>
    <definedName name="_20">#REF!</definedName>
    <definedName name="_20_10">#REF!</definedName>
    <definedName name="_20_20">#REF!</definedName>
    <definedName name="_20_STD">#REF!</definedName>
    <definedName name="_20_XS">#REF!</definedName>
    <definedName name="_21">#REF!</definedName>
    <definedName name="_21_0_0_F" hidden="1">#REF!</definedName>
    <definedName name="_22_STD">#REF!</definedName>
    <definedName name="_23__123Graph_XCHART_1" hidden="1">#REF!</definedName>
    <definedName name="_24_10">#REF!</definedName>
    <definedName name="_24_20">#REF!</definedName>
    <definedName name="_24_STD">#REF!</definedName>
    <definedName name="_24524525" hidden="1">#REF!</definedName>
    <definedName name="_25x3_30x5">#REF!</definedName>
    <definedName name="_26_STD">#REF!</definedName>
    <definedName name="_28_STD">#REF!</definedName>
    <definedName name="_2A16500_">#REF!</definedName>
    <definedName name="_2A17000_">#REF!</definedName>
    <definedName name="_2F" hidden="1">#REF!</definedName>
    <definedName name="_2L100x10">#REF!</definedName>
    <definedName name="_2n1_" hidden="1">{#N/A,#N/A,FALSE,"HO Rates";#N/A,#N/A,FALSE,"HO Sum"}</definedName>
    <definedName name="_3">#REF!</definedName>
    <definedName name="_3__123Graph_ACHART_3" hidden="1">#REF!</definedName>
    <definedName name="_3__123Graph_BCHART_1" hidden="1">#REF!</definedName>
    <definedName name="_3__123Graph_BCHART_2" hidden="1">#REF!</definedName>
    <definedName name="_3__123Graph_LBL_ACHART_1" hidden="1">#REF!</definedName>
    <definedName name="_3__123Graph_XCHART_1" hidden="1">#REF!</definedName>
    <definedName name="_3__123Graph_XCHART_4" hidden="1">#REF!</definedName>
    <definedName name="_3_0_0_F" hidden="1">#REF!</definedName>
    <definedName name="_3_40">#REF!</definedName>
    <definedName name="_3_STD">#REF!</definedName>
    <definedName name="_30_10">#REF!</definedName>
    <definedName name="_30_STD">#REF!</definedName>
    <definedName name="_30x5_30x50">#REF!</definedName>
    <definedName name="_32_STD">#REF!</definedName>
    <definedName name="_3A18000_">#REF!</definedName>
    <definedName name="_4">#REF!</definedName>
    <definedName name="_4__123Graph_BChart_1A" hidden="1">#REF!</definedName>
    <definedName name="_4__123Graph_CCHART_1" hidden="1">#REF!</definedName>
    <definedName name="_4__123Graph_LBL_ACHART_1" hidden="1">#REF!</definedName>
    <definedName name="_4__123Graph_XCHART_1" hidden="1">#REF!</definedName>
    <definedName name="_4_40">#REF!</definedName>
    <definedName name="_4_80">#REF!</definedName>
    <definedName name="_40_STD">#REF!</definedName>
    <definedName name="_425" hidden="1">#REF!</definedName>
    <definedName name="_48_STD">#REF!</definedName>
    <definedName name="_4A17000_">#REF!</definedName>
    <definedName name="_4A20000_">#REF!</definedName>
    <definedName name="_4n2_" hidden="1">{#N/A,#N/A,FALSE,"HO Sum";#N/A,#N/A,FALSE,"HO Rates";#N/A,#N/A,FALSE,"Co Sum";#N/A,#N/A,FALSE,"Clients Office";#N/A,#N/A,FALSE,"Field Sum";#N/A,#N/A,FALSE,"Field Rates"}</definedName>
    <definedName name="_4S" hidden="1">#REF!</definedName>
    <definedName name="_5">#REF!</definedName>
    <definedName name="_5__123Graph_ACHART_1" hidden="1">#REF!</definedName>
    <definedName name="_5__123Graph_DCHART_1" hidden="1">#REF!</definedName>
    <definedName name="_5__123Graph_XCHART_1" hidden="1">#REF!</definedName>
    <definedName name="_5_0_0_F" hidden="1">#REF!</definedName>
    <definedName name="_5_0_S" hidden="1">#REF!</definedName>
    <definedName name="_5_0pric">#REF!</definedName>
    <definedName name="_569">#REF!</definedName>
    <definedName name="_5A29000_">#REF!</definedName>
    <definedName name="_5D_Jhjh">#REF!</definedName>
    <definedName name="_5F" hidden="1">#REF!</definedName>
    <definedName name="_6">#REF!</definedName>
    <definedName name="_6_0_0_F" hidden="1">#REF!</definedName>
    <definedName name="_6_40">#REF!</definedName>
    <definedName name="_6_STD">#REF!</definedName>
    <definedName name="_6A18000_">#REF!</definedName>
    <definedName name="_6B_0Working_pr">#REF!</definedName>
    <definedName name="_6n3_" hidden="1">{#N/A,#N/A,FALSE,"HO Rates";#N/A,#N/A,FALSE,"HO Sum"}</definedName>
    <definedName name="_6S_10">#REF!</definedName>
    <definedName name="_7__123Graph_BCHART_1" hidden="1">#REF!</definedName>
    <definedName name="_7_0_0_F" hidden="1">#REF!</definedName>
    <definedName name="_7D_0Working_l">#REF!</definedName>
    <definedName name="_8__123Graph_ACHART_4" hidden="1">#REF!</definedName>
    <definedName name="_8__123Graph_LBL_ACHART_1" hidden="1">#REF!</definedName>
    <definedName name="_8_40">#REF!</definedName>
    <definedName name="_8_60">#REF!</definedName>
    <definedName name="_89__123Graph_ACHART_1" hidden="1">#REF!</definedName>
    <definedName name="_8A20000_">#REF!</definedName>
    <definedName name="_8n4_" hidden="1">{#N/A,#N/A,FALSE,"Clients Office";#N/A,#N/A,FALSE,"Co Sum"}</definedName>
    <definedName name="_9__123Graph_ACHART_4" hidden="1">#REF!</definedName>
    <definedName name="_9__123Graph_XCHART_1" hidden="1">#REF!</definedName>
    <definedName name="_9__123Graph_XCHART_2" hidden="1">#REF!</definedName>
    <definedName name="_9__123Graph_XCHART_3" hidden="1">#REF!</definedName>
    <definedName name="_90__123Graph_BCHART_1" hidden="1">#REF!</definedName>
    <definedName name="_91__123Graph_CCHART_1" hidden="1">#REF!</definedName>
    <definedName name="_92__123Graph_XCHART_1" hidden="1">#REF!</definedName>
    <definedName name="_A" hidden="1">#REF!</definedName>
    <definedName name="_a1" hidden="1">{#N/A,#N/A,FALSE,"Закрытые кредиты"}</definedName>
    <definedName name="_a2" hidden="1">{#N/A,#N/A,FALSE,"Закрытые кредиты"}</definedName>
    <definedName name="_a3" hidden="1">{#N/A,#N/A,FALSE,"Закрытые кредиты"}</definedName>
    <definedName name="_a4" hidden="1">{#N/A,#N/A,FALSE,"Закрытые кредиты"}</definedName>
    <definedName name="_a5" hidden="1">{#N/A,#N/A,FALSE,"Закрытые кредиты"}</definedName>
    <definedName name="_a6" hidden="1">{#N/A,#N/A,FALSE,"Закрытые кредиты"}</definedName>
    <definedName name="_A65700">#REF!</definedName>
    <definedName name="_A65800">#REF!</definedName>
    <definedName name="_A66000">#REF!</definedName>
    <definedName name="_A66600">#REF!</definedName>
    <definedName name="_A67000">#REF!</definedName>
    <definedName name="_A68000">#REF!</definedName>
    <definedName name="_A70000">#REF!</definedName>
    <definedName name="_A75000">#REF!</definedName>
    <definedName name="_A85000">#REF!</definedName>
    <definedName name="_aa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4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5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8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aaa3" hidden="1">#REF!</definedName>
    <definedName name="_aaa4" hidden="1">#REF!</definedName>
    <definedName name="_aaa5" hidden="1">#REF!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d12" hidden="1">{#N/A,#N/A,FALSE,"Aging Summary";#N/A,#N/A,FALSE,"Ratio Analysis";#N/A,#N/A,FALSE,"Test 120 Day Accts";#N/A,#N/A,FALSE,"Tickmarks"}</definedName>
    <definedName name="_adf" hidden="1">{#N/A,#N/A,FALSE,"COVER1.XLS ";#N/A,#N/A,FALSE,"RACT1.XLS";#N/A,#N/A,FALSE,"RACT2.XLS";#N/A,#N/A,FALSE,"ECCMP";#N/A,#N/A,FALSE,"WELDER.XLS"}</definedName>
    <definedName name="_ag1" hidden="1">#N/A</definedName>
    <definedName name="_all1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_AP1" hidden="1">#N/A</definedName>
    <definedName name="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s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GoalSeekTargetValue" hidden="1">0</definedName>
    <definedName name="_AtRisk_SimSetting_LiveUpdate" hidden="1">TRUE</definedName>
    <definedName name="_AtRisk_SimSetting_LiveUpdatePeriod" hidden="1">-1</definedName>
    <definedName name="_AtRisk_SimSetting_MacroMode" hidden="1">0</definedName>
    <definedName name="_AtRisk_SimSetting_MacroRecalculationBehavior" hidden="1">0</definedName>
    <definedName name="_AtRisk_SimSetting_MultipleCPUManualCount" hidden="1">4</definedName>
    <definedName name="_AtRisk_SimSetting_MultipleCPUMode" hidden="1">0</definedName>
    <definedName name="_AtRisk_SimSetting_RandomNumberGenerator" hidden="1">0</definedName>
    <definedName name="_AtRisk_SimSetting_ReportOptionCustomItemsCount" hidden="1">0</definedName>
    <definedName name="_AtRisk_SimSetting_ReportOptionDataMode" hidden="1">1</definedName>
    <definedName name="_AtRisk_SimSetting_ReportOptionReportMultiSimType" hidden="1">0</definedName>
    <definedName name="_AtRisk_SimSetting_ReportOptionReportPlacement" hidden="1">1</definedName>
    <definedName name="_AtRisk_SimSetting_ReportOptionReportSelection" hidden="1">0</definedName>
    <definedName name="_AtRisk_SimSetting_ReportOptionReportsFileType" hidden="1">1</definedName>
    <definedName name="_AtRisk_SimSetting_ReportOptionReportStyle" hidden="1">1</definedName>
    <definedName name="_AtRisk_SimSetting_ReportOptionSelectiveQR" hidden="1">FALSE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AC110">#REF!</definedName>
    <definedName name="_BAC120">#REF!</definedName>
    <definedName name="_BAC125">#REF!</definedName>
    <definedName name="_BAC130">#REF!</definedName>
    <definedName name="_BAC135">#REF!</definedName>
    <definedName name="_BAC140">#REF!</definedName>
    <definedName name="_BAC145">#REF!</definedName>
    <definedName name="_BAC150">#REF!</definedName>
    <definedName name="_BAC155">#REF!</definedName>
    <definedName name="_BAC160">#REF!</definedName>
    <definedName name="_BAC165">#REF!</definedName>
    <definedName name="_BAC170">#REF!</definedName>
    <definedName name="_BAC180">#REF!</definedName>
    <definedName name="_BAC190">#REF!</definedName>
    <definedName name="_bb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bb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AP5">"$#ССЫЛ!.$E$1003:$E$1023"</definedName>
    <definedName name="_cat1">#REF!</definedName>
    <definedName name="_cc2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_ccr1" hidden="1">{#N/A,#N/A,TRUE,"Cover";#N/A,#N/A,TRUE,"Conts";#N/A,#N/A,TRUE,"VOS";#N/A,#N/A,TRUE,"Warrington";#N/A,#N/A,TRUE,"Widnes"}</definedName>
    <definedName name="_CF2" hidden="1">{#N/A,#N/A,FALSE,"Aging Summary";#N/A,#N/A,FALSE,"Ratio Analysis";#N/A,#N/A,FALSE,"Test 120 Day Accts";#N/A,#N/A,FALSE,"Tickmarks"}</definedName>
    <definedName name="_CON1">#REF!</definedName>
    <definedName name="_CON2">#REF!</definedName>
    <definedName name="_cvb5" hidden="1">{"'Sheet1'!$A$1:$G$96","'Sheet1'!$A$1:$H$96"}</definedName>
    <definedName name="_DCP1">#REF!</definedName>
    <definedName name="_DCP2">#REF!</definedName>
    <definedName name="_Dist_Bin" hidden="1">#REF!</definedName>
    <definedName name="_Dist_Values" hidden="1">#REF!</definedName>
    <definedName name="_EX" hidden="1">{#N/A,#N/A,FALSE,"COVER1.XLS ";#N/A,#N/A,FALSE,"RACT1.XLS";#N/A,#N/A,FALSE,"RACT2.XLS";#N/A,#N/A,FALSE,"ECCMP";#N/A,#N/A,FALSE,"WELDER.XLS"}</definedName>
    <definedName name="_EXH1">#REF!</definedName>
    <definedName name="_EXH10">#REF!</definedName>
    <definedName name="_EXH2">#REF!</definedName>
    <definedName name="_EXH20">#REF!</definedName>
    <definedName name="_EXH3">#REF!</definedName>
    <definedName name="_F07" hidden="1">#REF!</definedName>
    <definedName name="_Fill" hidden="1">#REF!</definedName>
    <definedName name="_Fill1" hidden="1">#REF!</definedName>
    <definedName name="_Fill2" hidden="1">#REF!</definedName>
    <definedName name="_Filll" hidden="1">#REF!</definedName>
    <definedName name="_ghg1" hidden="1">{#N/A,#N/A,FALSE,"Себестоимсть-97"}</definedName>
    <definedName name="_GIP2">#REF!</definedName>
    <definedName name="_GSRATES_1" hidden="1">"CT300001Latest          "</definedName>
    <definedName name="_GSRATES_COUNT" hidden="1">1</definedName>
    <definedName name="_GSRATESR_1" hidden="1">#REF!</definedName>
    <definedName name="_HEA100">#REF!</definedName>
    <definedName name="_HEA1000">#REF!</definedName>
    <definedName name="_HEA120">#REF!</definedName>
    <definedName name="_HEA140">#REF!</definedName>
    <definedName name="_HEA160">#REF!</definedName>
    <definedName name="_HEA180">#REF!</definedName>
    <definedName name="_HEA200">#REF!</definedName>
    <definedName name="_HEA220">#REF!</definedName>
    <definedName name="_HEA240">#REF!</definedName>
    <definedName name="_HEA260">#REF!</definedName>
    <definedName name="_HEA280">#REF!</definedName>
    <definedName name="_HEA300">#REF!</definedName>
    <definedName name="_HEA320">#REF!</definedName>
    <definedName name="_HEA340">#REF!</definedName>
    <definedName name="_HEA360">#REF!</definedName>
    <definedName name="_HEA400">#REF!</definedName>
    <definedName name="_HEA450">#REF!</definedName>
    <definedName name="_HEA500">#REF!</definedName>
    <definedName name="_HEA550">#REF!</definedName>
    <definedName name="_HEA600">#REF!</definedName>
    <definedName name="_HEA650">#REF!</definedName>
    <definedName name="_HEA700">#REF!</definedName>
    <definedName name="_HEA800">#REF!</definedName>
    <definedName name="_HEA900">#REF!</definedName>
    <definedName name="_HEB100">#REF!</definedName>
    <definedName name="_HEB1000">#REF!</definedName>
    <definedName name="_HEB120">#REF!</definedName>
    <definedName name="_HEB140">#REF!</definedName>
    <definedName name="_HEB160">#REF!</definedName>
    <definedName name="_HEB180">#REF!</definedName>
    <definedName name="_HEB200">#REF!</definedName>
    <definedName name="_HEB240">#REF!</definedName>
    <definedName name="_HEB260">#REF!</definedName>
    <definedName name="_HEB280">#REF!</definedName>
    <definedName name="_HEB300">#REF!</definedName>
    <definedName name="_HEB320">#REF!</definedName>
    <definedName name="_HEB340">#REF!</definedName>
    <definedName name="_HEB360">#REF!</definedName>
    <definedName name="_HEB400">#REF!</definedName>
    <definedName name="_HEB450">#REF!</definedName>
    <definedName name="_HEB500">#REF!</definedName>
    <definedName name="_HEB550">#REF!</definedName>
    <definedName name="_HEB600">#REF!</definedName>
    <definedName name="_HEB700">#REF!</definedName>
    <definedName name="_HEB800">#REF!</definedName>
    <definedName name="_HEB900">#REF!</definedName>
    <definedName name="_hk4645" hidden="1">{#N/A,#N/A,FALSE,"ihz. icmal";#N/A,#N/A,FALSE,"avans";#N/A,#N/A,FALSE,"mal_FF_icm";#N/A,#N/A,FALSE,"fat_ihz";#N/A,#N/A,FALSE,"söz_fiy_fark";#N/A,#N/A,FALSE,"kap2"}</definedName>
    <definedName name="_I00Assumptions">#REF!</definedName>
    <definedName name="_I04Purchase_Price_Ratios">#REF!</definedName>
    <definedName name="_IPE100">#REF!</definedName>
    <definedName name="_IPE120">#REF!</definedName>
    <definedName name="_IPE140">#REF!</definedName>
    <definedName name="_IPE160">#REF!</definedName>
    <definedName name="_IPE180">#REF!</definedName>
    <definedName name="_IPE200">#REF!</definedName>
    <definedName name="_IPE220">#REF!</definedName>
    <definedName name="_IPE240">#REF!</definedName>
    <definedName name="_IPE270">#REF!</definedName>
    <definedName name="_IPE300">#REF!</definedName>
    <definedName name="_IPE330">#REF!</definedName>
    <definedName name="_IPE360">#REF!</definedName>
    <definedName name="_IPE400">#REF!</definedName>
    <definedName name="_IPE450">#REF!</definedName>
    <definedName name="_IPE500">#REF!</definedName>
    <definedName name="_IPE550">#REF!</definedName>
    <definedName name="_IPE600">#REF!</definedName>
    <definedName name="_IPE80">#REF!</definedName>
    <definedName name="_Key1" hidden="1">#REF!</definedName>
    <definedName name="_Key2" hidden="1">#REF!</definedName>
    <definedName name="_kv1">#REF!</definedName>
    <definedName name="_kv2">#REF!</definedName>
    <definedName name="_kv3">#REF!</definedName>
    <definedName name="_kv4">#REF!</definedName>
    <definedName name="_MatInverse_In" hidden="1">#REF!</definedName>
    <definedName name="_mmm1" hidden="1">{#N/A,#N/A,FALSE,"Себестоимсть-97"}</definedName>
    <definedName name="_NET2">#REF!</definedName>
    <definedName name="_new2" hidden="1">{#N/A,#N/A,FALSE,"Field Rates";#N/A,#N/A,FALSE,"Field Sum"}</definedName>
    <definedName name="_new3" hidden="1">{#N/A,#N/A,FALSE,"HO Sum";#N/A,#N/A,FALSE,"HO Rates";#N/A,#N/A,FALSE,"Co Sum";#N/A,#N/A,FALSE,"Clients Office";#N/A,#N/A,FALSE,"Field Sum";#N/A,#N/A,FALSE,"Field Rates"}</definedName>
    <definedName name="_new4" hidden="1">{#N/A,#N/A,FALSE,"HO Rates";#N/A,#N/A,FALSE,"HO Sum"}</definedName>
    <definedName name="_NGd1">#REF!</definedName>
    <definedName name="_NGd10">#REF!</definedName>
    <definedName name="_NGd12">#REF!</definedName>
    <definedName name="_NGd13">#REF!</definedName>
    <definedName name="_NGd14">#REF!</definedName>
    <definedName name="_NGd15">#REF!</definedName>
    <definedName name="_NGd2">#REF!</definedName>
    <definedName name="_NGd3">#REF!</definedName>
    <definedName name="_NGd4">#REF!</definedName>
    <definedName name="_NGd5">#REF!</definedName>
    <definedName name="_NGd6">#REF!</definedName>
    <definedName name="_NGd7">#REF!</definedName>
    <definedName name="_NGd8">#REF!</definedName>
    <definedName name="_NGd9">#REF!</definedName>
    <definedName name="_NHg" hidden="1">#REF!</definedName>
    <definedName name="_nm7" hidden="1">{"'Sheet1'!$A$1:$G$96","'Sheet1'!$A$1:$H$96"}</definedName>
    <definedName name="_nm8" hidden="1">{"'Sheet1'!$A$1:$G$96","'Sheet1'!$A$1:$H$96"}</definedName>
    <definedName name="_NN1">#REF!</definedName>
    <definedName name="_NPa1">#REF!</definedName>
    <definedName name="_NPa10">#REF!</definedName>
    <definedName name="_NPa2">#REF!</definedName>
    <definedName name="_NPa3">#REF!</definedName>
    <definedName name="_NPa4">#REF!</definedName>
    <definedName name="_NPa5">#REF!</definedName>
    <definedName name="_NPa6">#REF!</definedName>
    <definedName name="_NPa7">#REF!</definedName>
    <definedName name="_NPa8">#REF!</definedName>
    <definedName name="_NPa9">#REF!</definedName>
    <definedName name="_NSp1">#REF!</definedName>
    <definedName name="_ok093" hidden="1">#REF!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rder1" hidden="1">255</definedName>
    <definedName name="_order12" hidden="1">0</definedName>
    <definedName name="_Order2" hidden="1">255</definedName>
    <definedName name="_ot97" hidden="1">#REF!,#REF!,#REF!,#REF!,#REF!,#REF!,#REF!</definedName>
    <definedName name="_P00A__Assumptions">#REF!</definedName>
    <definedName name="_P00B__Sources_and_Uses">#REF!</definedName>
    <definedName name="_P00C__Capitalization">#REF!</definedName>
    <definedName name="_P00D__Balance_Sheet">#REF!</definedName>
    <definedName name="_P00E__Income_Statement">#REF!</definedName>
    <definedName name="_P00F__Mulitiples">#REF!</definedName>
    <definedName name="_P00G__Cash_Flow">#REF!</definedName>
    <definedName name="_P00H__Reserves">#REF!</definedName>
    <definedName name="_P04Purchase_Price_Ratios">#REF!</definedName>
    <definedName name="_PA3" hidden="1">{"'Sheet1'!$L$16"}</definedName>
    <definedName name="_PA4" hidden="1">{"'Sheet1'!$L$16"}</definedName>
    <definedName name="_Parse_Out" hidden="1">#REF!</definedName>
    <definedName name="_Pos1">#REF!</definedName>
    <definedName name="_PRN1" hidden="1">{#N/A,#N/A,FALSE,"COVER.XLS";#N/A,#N/A,FALSE,"RACT1.XLS";#N/A,#N/A,FALSE,"RACT2.XLS";#N/A,#N/A,FALSE,"ECCMP";#N/A,#N/A,FALSE,"WELDER.XLS"}</definedName>
    <definedName name="_PRN1_1" hidden="1">{#N/A,#N/A,FALSE,"COVER.XLS";#N/A,#N/A,FALSE,"RACT1.XLS";#N/A,#N/A,FALSE,"RACT2.XLS";#N/A,#N/A,FALSE,"ECCMP";#N/A,#N/A,FALSE,"WELDER.XLS"}</definedName>
    <definedName name="_PU1">#REF!</definedName>
    <definedName name="_q" hidden="1">#REF!</definedName>
    <definedName name="_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q2" hidden="1">{"'Sheet1'!$A$1:$G$96","'Sheet1'!$A$1:$H$96"}</definedName>
    <definedName name="_q3" hidden="1">{"'Sheet1'!$A$1:$G$96","'Sheet1'!$A$1:$H$96"}</definedName>
    <definedName name="_q4" hidden="1">{"'Sheet1'!$A$1:$G$96","'Sheet1'!$A$1:$H$96"}</definedName>
    <definedName name="_q5" hidden="1">{"'Sheet1'!$A$1:$G$96","'Sheet1'!$A$1:$H$96"}</definedName>
    <definedName name="_q6" hidden="1">{"'Sheet1'!$A$1:$G$96","'Sheet1'!$A$1:$H$96"}</definedName>
    <definedName name="_q8" hidden="1">{"'Sheet1'!$A$1:$G$96","'Sheet1'!$A$1:$H$96"}</definedName>
    <definedName name="_q9" hidden="1">{"'Sheet1'!$A$1:$G$96","'Sheet1'!$A$1:$H$96"}</definedName>
    <definedName name="_qq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_rap">{"A  Assumptions";"B  Sources and Uses";"C  Capitalization";"D  Balance Sheet";"E  Income Statement";"F  Mulitiples";"G  Cash Flow";"H  Reserves"}</definedName>
    <definedName name="_Regression_Int">1</definedName>
    <definedName name="_Regression_Out" hidden="1">#REF!</definedName>
    <definedName name="_Regression_X" hidden="1">#REF!</definedName>
    <definedName name="_Regression_Y" hidden="1">#REF!</definedName>
    <definedName name="_rep">{"A  Assumptions";"B  Sources and Uses";"C  Capitalization";"D  Balance Sheet";"E  Income Statement";"F  Mulitiples";"G  Cash Flow";"H  Reserves"}</definedName>
    <definedName name="_Report">{"A  Assumptions";"B  Sources and Uses";"C  Capitalization";"D  Balance Sheet";"E  Income Statement";"F  Mulitiples";"G  Cash Flow";"H  Reserves"}</definedName>
    <definedName name="_Rev1">#REF!</definedName>
    <definedName name="_Rev2">#REF!</definedName>
    <definedName name="_Rev3">#REF!</definedName>
    <definedName name="_Rev4">#REF!</definedName>
    <definedName name="_RT1">#REF!</definedName>
    <definedName name="_RT2">#REF!</definedName>
    <definedName name="_S1">#REF!</definedName>
    <definedName name="_sdf2" hidden="1">{"'Sheet1'!$A$1:$G$96","'Sheet1'!$A$1:$H$96"}</definedName>
    <definedName name="_SF4301">#REF!</definedName>
    <definedName name="_Sh7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_Sort" hidden="1">#REF!</definedName>
    <definedName name="_t1" hidden="1">#REF!</definedName>
    <definedName name="_t2" hidden="1">#REF!</definedName>
    <definedName name="_Table1_In1" hidden="1">#REF!</definedName>
    <definedName name="_Table1_In2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Table3_In2" hidden="1">#N/A</definedName>
    <definedName name="_tet5655" hidden="1">#REF!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UPN100">#REF!</definedName>
    <definedName name="_UPN120">#REF!</definedName>
    <definedName name="_UPN140">#REF!</definedName>
    <definedName name="_UPN160">#REF!</definedName>
    <definedName name="_UPN180">#REF!</definedName>
    <definedName name="_UPN200">#REF!</definedName>
    <definedName name="_UPN220">#REF!</definedName>
    <definedName name="_UPN240">#REF!</definedName>
    <definedName name="_UPN260">#REF!</definedName>
    <definedName name="_UPN280">#REF!</definedName>
    <definedName name="_UPN300">#REF!</definedName>
    <definedName name="_UPN80">#REF!</definedName>
    <definedName name="_v5fds" hidden="1">#REF!</definedName>
    <definedName name="_VR030" hidden="1">{"'Monthly Report'!$A$1:$L$34"}</definedName>
    <definedName name="_w1" hidden="1">{"DELIV.",#N/A,FALSE,"comp";"INV",#N/A,FALSE,"comp"}</definedName>
    <definedName name="_WRN1" hidden="1">{#N/A,#N/A,FALSE,"COVER1.XLS ";#N/A,#N/A,FALSE,"RACT1.XLS";#N/A,#N/A,FALSE,"RACT2.XLS";#N/A,#N/A,FALSE,"ECCMP";#N/A,#N/A,FALSE,"WELDER.XLS"}</definedName>
    <definedName name="_WRN1_1" hidden="1">{#N/A,#N/A,FALSE,"COVER1.XLS ";#N/A,#N/A,FALSE,"RACT1.XLS";#N/A,#N/A,FALSE,"RACT2.XLS";#N/A,#N/A,FALSE,"ECCMP";#N/A,#N/A,FALSE,"WELDER.XLS"}</definedName>
    <definedName name="_WRN2" hidden="1">{#N/A,#N/A,FALSE,"COVER1.XLS ";#N/A,#N/A,FALSE,"RACT1.XLS";#N/A,#N/A,FALSE,"RACT2.XLS";#N/A,#N/A,FALSE,"ECCMP";#N/A,#N/A,FALSE,"WELDER.XLS"}</definedName>
    <definedName name="_WRN2_1" hidden="1">{#N/A,#N/A,FALSE,"COVER1.XLS ";#N/A,#N/A,FALSE,"RACT1.XLS";#N/A,#N/A,FALSE,"RACT2.XLS";#N/A,#N/A,FALSE,"ECCMP";#N/A,#N/A,FALSE,"WELDER.XLS"}</definedName>
    <definedName name="_wrn222" hidden="1">{"glc1",#N/A,FALSE,"GLC";"glc2",#N/A,FALSE,"GLC";"glc3",#N/A,FALSE,"GLC";"glc4",#N/A,FALSE,"GLC";"glc5",#N/A,FALSE,"GLC"}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4" hidden="1">{#N/A,#N/A,FALSE,"COVER1.XLS ";#N/A,#N/A,FALSE,"RACT1.XLS";#N/A,#N/A,FALSE,"RACT2.XLS";#N/A,#N/A,FALSE,"ECCMP";#N/A,#N/A,FALSE,"WELDER.XLS"}</definedName>
    <definedName name="_ww2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ww23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ww34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_x1" hidden="1">#N/A</definedName>
    <definedName name="_x2" hidden="1">{"'Sheet1'!$A$1:$G$96","'Sheet1'!$A$1:$H$96"}</definedName>
    <definedName name="_Z" hidden="1">#REF!</definedName>
    <definedName name="_z1" hidden="1">{"'Sheet1'!$A$1:$G$96","'Sheet1'!$A$1:$H$96"}</definedName>
    <definedName name="_z3" hidden="1">{"'Sheet1'!$A$1:$G$96","'Sheet1'!$A$1:$H$96"}</definedName>
    <definedName name="_z4" hidden="1">{"'Sheet1'!$A$1:$G$96","'Sheet1'!$A$1:$H$96"}</definedName>
    <definedName name="_ZA__Assumptions">{0;0;0;0;1;1;0.25;0.25;0.25;0.25;2;FALSE;FALSE;FALSE;FALSE;FALSE;#N/A;1;#N/A;1;1;"";""}</definedName>
    <definedName name="_ZAssumptions_1">{0;0;0;0;1;1;0.25;0.25;0.25;0.25;2;FALSE;FALSE;FALSE;FALSE;FALSE;#N/A;1;#N/A;1;1;"";""}</definedName>
    <definedName name="_ZB__Sources_and_Uses">{0;0;0;0;1;1;0.25;0.25;0.25;0.25;2;FALSE;FALSE;FALSE;FALSE;FALSE;#N/A;1;#N/A;1;1;"";""}</definedName>
    <definedName name="_ZC__Capitalization">{0;0;0;0;1;1;0.25;0.25;0.25;0.25;2;FALSE;FALSE;FALSE;FALSE;FALSE;#N/A;1;#N/A;1;1;"";""}</definedName>
    <definedName name="_ZD__Balance_Sheet">{0;0;0;0;1;1;0.25;0.25;0.25;0.25;2;FALSE;FALSE;FALSE;FALSE;FALSE;#N/A;1;#N/A;1;1;"";""}</definedName>
    <definedName name="_ZE__Income_Statement">{0;0;0;0;1;1;0.25;0.25;0.25;0.25;2;FALSE;FALSE;FALSE;FALSE;FALSE;#N/A;1;#N/A;1;1;"";""}</definedName>
    <definedName name="_ZF__Mulitiples">{0;0;0;0;1;1;0.25;0.25;0.25;0.25;2;FALSE;FALSE;FALSE;FALSE;FALSE;#N/A;1;#N/A;1;1;"";""}</definedName>
    <definedName name="_ZG__Cash_Flow">{0;0;0;0;1;1;0.25;0.25;0.25;0.25;2;FALSE;FALSE;FALSE;FALSE;FALSE;#N/A;1;#N/A;1;1;"";""}</definedName>
    <definedName name="_ZH__Reserves">{0;0;0;0;1;1;0.25;0.25;0.25;0.25;2;FALSE;FALSE;FALSE;FALSE;FALSE;#N/A;1;#N/A;1;1;"";""}</definedName>
    <definedName name="_ZIncome_Statement">{0;0;0;0;1;1;0.25;0.25;0.25;0.25;2;FALSE;FALSE;FALSE;FALSE;FALSE;#N/A;1;#N/A;1;1;"";""}</definedName>
    <definedName name="_ZPro_Forma_Capitalization">{0;0;0;0;1;1;0.25;0.25;0.25;0.25;2;FALSE;FALSE;FALSE;FALSE;FALSE;#N/A;1;#N/A;1;1;"";""}</definedName>
    <definedName name="_ZSources_and_Uses">{0;0;0;0;1;1;0.25;0.25;0.25;0.25;2;FALSE;FALSE;FALSE;FALSE;FALSE;#N/A;1;#N/A;1;1;"";""}</definedName>
    <definedName name="_zz2" hidden="1">{0,0,0,0;0,0,0,0;0,0,0,0;0,0,0,0}</definedName>
    <definedName name="_В" hidden="1">#REF!</definedName>
    <definedName name="_свод" hidden="1">#REF!</definedName>
    <definedName name="_Фильтр_базы_данных" hidden="1">#REF!</definedName>
    <definedName name="_xlnm._FilterDatabase" hidden="1">#REF!</definedName>
    <definedName name="_ФильтрБазыДанных_СЗ" hidden="1">#REF!</definedName>
    <definedName name="_ФильтрБазыДанных2" hidden="1">#REF!</definedName>
    <definedName name="´cAE°eE¹" hidden="1">#REF!</definedName>
    <definedName name="￠￥cAE¡ÆeEⓒo" hidden="1">#REF!</definedName>
    <definedName name="A">#REF!</definedName>
    <definedName name="a_ACCESS_STRING" hidden="1">#REF!</definedName>
    <definedName name="a_ALLOCATION_CODE" hidden="1">#REF!</definedName>
    <definedName name="a_ALLOCATION_ID" hidden="1">#REF!</definedName>
    <definedName name="a_ALLOCATION_NAME" hidden="1">#REF!</definedName>
    <definedName name="A_B">#N/A</definedName>
    <definedName name="a_BALANCE_CODE" hidden="1">#REF!</definedName>
    <definedName name="a_BALANCE_ID" hidden="1">#REF!</definedName>
    <definedName name="a_BALANCE_NAME" hidden="1">#REF!</definedName>
    <definedName name="a_BASE_CALC_CODE" hidden="1">#REF!</definedName>
    <definedName name="a_BASE_CALC_ID" hidden="1">#REF!</definedName>
    <definedName name="a_BASE_CALC_NAME" hidden="1">#REF!</definedName>
    <definedName name="a_BASE_SCENARIO_CODE" hidden="1">#REF!</definedName>
    <definedName name="a_BASE_SCENARIO_ID" hidden="1">#REF!</definedName>
    <definedName name="a_BASE_SCENARIO_NAME" hidden="1">#REF!</definedName>
    <definedName name="a_BASEMARKET_CODE" hidden="1">#REF!</definedName>
    <definedName name="a_BASEMARKET_ID" hidden="1">#REF!</definedName>
    <definedName name="a_BASEMARKET_NAME" hidden="1">#REF!</definedName>
    <definedName name="a_BEG_DATE" hidden="1">#REF!</definedName>
    <definedName name="a_BINDING_CODE" hidden="1">#REF!</definedName>
    <definedName name="a_BINDING_ID" hidden="1">#REF!</definedName>
    <definedName name="a_BINDING_NAME" hidden="1">#REF!</definedName>
    <definedName name="a_BONUS_CODE" hidden="1">#REF!</definedName>
    <definedName name="a_BONUS_ID" hidden="1">#REF!</definedName>
    <definedName name="a_BONUS_NAME" hidden="1">#REF!</definedName>
    <definedName name="a_CAPEX_ALGORITHM" hidden="1">#REF!</definedName>
    <definedName name="a_CHANGE_DATE" hidden="1">#REF!</definedName>
    <definedName name="a_CODE" hidden="1">#REF!</definedName>
    <definedName name="a_CREATE_DATE" hidden="1">#REF!</definedName>
    <definedName name="a_CURRENCY_COURSE_NAME" hidden="1">#REF!</definedName>
    <definedName name="a_CUSTOM_CODE" hidden="1">#REF!</definedName>
    <definedName name="a_CUSTOM_ID" hidden="1">#REF!</definedName>
    <definedName name="a_CUSTOM_NAME" hidden="1">#REF!</definedName>
    <definedName name="a_DEMAND_CODE" hidden="1">#REF!</definedName>
    <definedName name="a_DEMAND_ID" hidden="1">#REF!</definedName>
    <definedName name="a_DEMAND_NAME" hidden="1">#REF!</definedName>
    <definedName name="a_DEPT_ID" hidden="1">#REF!</definedName>
    <definedName name="a_DEPT_NAME" hidden="1">#REF!</definedName>
    <definedName name="a_END_DATE" hidden="1">#REF!</definedName>
    <definedName name="a_EPOCH_COUNT" hidden="1">#REF!</definedName>
    <definedName name="a_EPOCH_INTERVAL_NAME" hidden="1">#REF!</definedName>
    <definedName name="a_FIXCOST_CODE" hidden="1">#REF!</definedName>
    <definedName name="a_FIXCOST_ID" hidden="1">#REF!</definedName>
    <definedName name="a_FIXCOST_NAME" hidden="1">#REF!</definedName>
    <definedName name="a_FOLDER_ID" hidden="1">#REF!</definedName>
    <definedName name="a_FOLDER_NAME" hidden="1">#REF!</definedName>
    <definedName name="a_FOLDER_PARENT_ID" hidden="1">#REF!</definedName>
    <definedName name="a_FORECAST_CODE" hidden="1">#REF!</definedName>
    <definedName name="a_FORECAST_ID" hidden="1">#REF!</definedName>
    <definedName name="a_FORECAST_NAME" hidden="1">#REF!</definedName>
    <definedName name="a_FREIGHT_CODE" hidden="1">#REF!</definedName>
    <definedName name="a_FREIGHT_ID" hidden="1">#REF!</definedName>
    <definedName name="a_FREIGHT_NAME" hidden="1">#REF!</definedName>
    <definedName name="a_GROUP_LIMIT_CODE" hidden="1">#REF!</definedName>
    <definedName name="a_GROUP_LIMIT_ID" hidden="1">#REF!</definedName>
    <definedName name="a_GROUP_LIMIT_NAME" hidden="1">#REF!</definedName>
    <definedName name="a_ID" hidden="1">#REF!</definedName>
    <definedName name="A_impresión_IM">#REF!</definedName>
    <definedName name="a_IS_ARCHIVED" hidden="1">#REF!</definedName>
    <definedName name="a_IS_BASE" hidden="1">#REF!</definedName>
    <definedName name="a_IS_BUDGET_PAY" hidden="1">#REF!</definedName>
    <definedName name="a_IS_DEPT_READY" hidden="1">#REF!</definedName>
    <definedName name="a_IS_READ_ONLY" hidden="1">#REF!</definedName>
    <definedName name="a_MARKET_CODE" hidden="1">#REF!</definedName>
    <definedName name="a_MARKET_ID" hidden="1">#REF!</definedName>
    <definedName name="a_MARKET_NAME" hidden="1">#REF!</definedName>
    <definedName name="a_NAME" hidden="1">#REF!</definedName>
    <definedName name="a_NOTE" hidden="1">#REF!</definedName>
    <definedName name="a_OPTIMEX_CODE" hidden="1">#REF!</definedName>
    <definedName name="a_OPTIMEX_ID" hidden="1">#REF!</definedName>
    <definedName name="a_OPTIMEX_NAME" hidden="1">#REF!</definedName>
    <definedName name="a_OPTIMEX_VERSION" hidden="1">#REF!</definedName>
    <definedName name="a_OPTIMEX_VERSION_NAME" hidden="1">#REF!</definedName>
    <definedName name="a_OWNER_ID" hidden="1">#REF!</definedName>
    <definedName name="a_OWNER_NAME" hidden="1">#REF!</definedName>
    <definedName name="a_OWNER_USER" hidden="1">#REF!</definedName>
    <definedName name="a_PARITY_CODE" hidden="1">#REF!</definedName>
    <definedName name="a_PARITY_ID" hidden="1">#REF!</definedName>
    <definedName name="a_PARITY_NAME" hidden="1">#REF!</definedName>
    <definedName name="a_PATH" hidden="1">#REF!</definedName>
    <definedName name="a_PERCENT_NDS" hidden="1">#REF!</definedName>
    <definedName name="a_PRICING_CODE" hidden="1">#REF!</definedName>
    <definedName name="a_PRICING_ID" hidden="1">#REF!</definedName>
    <definedName name="a_PRICING_NAME" hidden="1">#REF!</definedName>
    <definedName name="a_ROUTE_CODE" hidden="1">#REF!</definedName>
    <definedName name="a_ROUTE_ID" hidden="1">#REF!</definedName>
    <definedName name="a_ROUTE_NAME" hidden="1">#REF!</definedName>
    <definedName name="a_SC_NAME" hidden="1">#REF!</definedName>
    <definedName name="a_SC_PATH" hidden="1">#REF!</definedName>
    <definedName name="a_SENSITIVITY_CODE" hidden="1">#REF!</definedName>
    <definedName name="a_SENSITIVITY_ID" hidden="1">#REF!</definedName>
    <definedName name="a_SENSITIVITY_NAME" hidden="1">#REF!</definedName>
    <definedName name="a_SPENDING_CODE" hidden="1">#REF!</definedName>
    <definedName name="a_SPENDING_ID" hidden="1">#REF!</definedName>
    <definedName name="a_SPENDING_NAME" hidden="1">#REF!</definedName>
    <definedName name="a_SYS_DATE" hidden="1">#REF!</definedName>
    <definedName name="a_SYS_USER" hidden="1">#REF!</definedName>
    <definedName name="a_SYS_VERSION" hidden="1">#REF!</definedName>
    <definedName name="a_TRANCHE_CODE" hidden="1">#REF!</definedName>
    <definedName name="a_TRANCHE_ID" hidden="1">#REF!</definedName>
    <definedName name="a_TRANCHE_NAME" hidden="1">#REF!</definedName>
    <definedName name="a_TRANSFERT_CODE" hidden="1">#REF!</definedName>
    <definedName name="a_TRANSFERT_ID" hidden="1">#REF!</definedName>
    <definedName name="a_TRANSFERT_NAME" hidden="1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>#REF!</definedName>
    <definedName name="a1_BALANCE_NAME" hidden="1">#REF!</definedName>
    <definedName name="a1_BASE_SCENARIO_NAME" hidden="1">#REF!</definedName>
    <definedName name="a1_BEG_DATE" hidden="1">#REF!</definedName>
    <definedName name="a1_BINDING_NAME" hidden="1">#REF!</definedName>
    <definedName name="a1_BONUS_NAME" hidden="1">#REF!</definedName>
    <definedName name="a1_CAPEX_ALGORITHM" hidden="1">#REF!</definedName>
    <definedName name="a1_CODE" hidden="1">#REF!</definedName>
    <definedName name="a1_CUSTOM_NAME" hidden="1">#REF!</definedName>
    <definedName name="a1_DEMAND_NAME" hidden="1">#REF!</definedName>
    <definedName name="a1_END_DATE" hidden="1">#REF!</definedName>
    <definedName name="a1_EPOCH_INTERVAL_NAME" hidden="1">#REF!</definedName>
    <definedName name="a1_FIXCOST_NAME" hidden="1">#REF!</definedName>
    <definedName name="a1_FORECAST_NAME" hidden="1">#REF!</definedName>
    <definedName name="a1_NAME" hidden="1">#REF!</definedName>
    <definedName name="a1_NOTE" hidden="1">#REF!</definedName>
    <definedName name="a1_OPTIMEX_VERSION_NAME" hidden="1">#REF!</definedName>
    <definedName name="a1_OWNER_NAME" hidden="1">#REF!</definedName>
    <definedName name="a1_PATH" hidden="1">#REF!</definedName>
    <definedName name="a1_PRICING_NAME" hidden="1">#REF!</definedName>
    <definedName name="a1_ROUTE_NAME" hidden="1">#REF!</definedName>
    <definedName name="a1_SENSITIVITY_NAME" hidden="1">#REF!</definedName>
    <definedName name="a1_SPENDING_NAME" hidden="1">#REF!</definedName>
    <definedName name="a1_SYS_DATE" hidden="1">#REF!</definedName>
    <definedName name="a1_TRANCHE_NAME" hidden="1">#REF!</definedName>
    <definedName name="a1_TRANSFERT_NAME" hidden="1">#REF!</definedName>
    <definedName name="A10_">#REF!</definedName>
    <definedName name="A113548E" hidden="1">#REF!</definedName>
    <definedName name="A13_">#REF!</definedName>
    <definedName name="a1a3" hidden="1">{#N/A,#N/A,FALSE,"제목"}</definedName>
    <definedName name="a1b23" hidden="1">#REF!</definedName>
    <definedName name="A2_">#REF!</definedName>
    <definedName name="A3_">#REF!</definedName>
    <definedName name="A4_">#REF!</definedName>
    <definedName name="A5_">#REF!</definedName>
    <definedName name="A6_">#REF!</definedName>
    <definedName name="A7_">#REF!</definedName>
    <definedName name="A8_">#REF!</definedName>
    <definedName name="A9_">#REF!</definedName>
    <definedName name="aa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a_1" hidden="1">{#N/A,#N/A,FALSE,"CCTV"}</definedName>
    <definedName name="aaa" hidden="1">{#N/A,#N/A,FALSE,"Aging Summary";#N/A,#N/A,FALSE,"Ratio Analysis";#N/A,#N/A,FALSE,"Test 120 Day Accts";#N/A,#N/A,FALSE,"Tickmarks"}</definedName>
    <definedName name="AAA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AAA_DOCTOPS" hidden="1">"AAA_SET"</definedName>
    <definedName name="AAA_duser" hidden="1">"OFF"</definedName>
    <definedName name="aaa0" hidden="1">{#N/A,#N/A,FALSE,"Aging Summary";#N/A,#N/A,FALSE,"Ratio Analysis";#N/A,#N/A,FALSE,"Test 120 Day Accts";#N/A,#N/A,FALSE,"Tickmarks"}</definedName>
    <definedName name="aaaa" hidden="1">{#N/A,#N/A,FALSE,"activity"}</definedName>
    <definedName name="aaaa_1" hidden="1">{#N/A,#N/A,FALSE,"CCTV"}</definedName>
    <definedName name="aaaaa" hidden="1">{#N/A,#N/A,FALSE,"activity"}</definedName>
    <definedName name="aaaaa_1" hidden="1">{#N/A,#N/A,TRUE,"Basic";#N/A,#N/A,TRUE,"EXT-TABLE";#N/A,#N/A,TRUE,"STEEL";#N/A,#N/A,TRUE,"INT-Table";#N/A,#N/A,TRUE,"STEEL";#N/A,#N/A,TRUE,"Door"}</definedName>
    <definedName name="AAAAA1" hidden="1">{#N/A,#N/A,TRUE,"Basic";#N/A,#N/A,TRUE,"EXT-TABLE";#N/A,#N/A,TRUE,"STEEL";#N/A,#N/A,TRUE,"INT-Table";#N/A,#N/A,TRUE,"STEEL";#N/A,#N/A,TRUE,"Door"}</definedName>
    <definedName name="aaaaaa" hidden="1">{#N/A,#N/A,FALSE,"activity"}</definedName>
    <definedName name="aaaaaaa" hidden="1">{#N/A,#N/A,FALSE,"activity"}</definedName>
    <definedName name="AAAAAAA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aaaaaa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aaaaaaaa" hidden="1">#REF!</definedName>
    <definedName name="AAAAAAAAAA">#REF!</definedName>
    <definedName name="aaaaaaaaaaaaaaa" hidden="1">#REF!</definedName>
    <definedName name="aaaaaaaaaaaaaaaaaaa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" hidden="1">{#N/A,#N/A,TRUE,"Basic";#N/A,#N/A,TRUE,"EXT-TABLE";#N/A,#N/A,TRUE,"STEEL";#N/A,#N/A,TRUE,"INT-Table";#N/A,#N/A,TRUE,"STEEL";#N/A,#N/A,TRUE,"Door"}</definedName>
    <definedName name="ab_1" hidden="1">{#N/A,#N/A,TRUE,"Basic";#N/A,#N/A,TRUE,"EXT-TABLE";#N/A,#N/A,TRUE,"STEEL";#N/A,#N/A,TRUE,"INT-Table";#N/A,#N/A,TRUE,"STEEL";#N/A,#N/A,TRUE,"Door"}</definedName>
    <definedName name="AB32AC500">#REF!</definedName>
    <definedName name="ABA">#REF!</definedName>
    <definedName name="ABAN_COST_BOE">#REF!</definedName>
    <definedName name="ABAN_FRAC">#REF!</definedName>
    <definedName name="ABAtwo">#REF!</definedName>
    <definedName name="abc" hidden="1">{#N/A,#N/A,FALSE,"Aging Summary";#N/A,#N/A,FALSE,"Ratio Analysis";#N/A,#N/A,FALSE,"Test 120 Day Accts";#N/A,#N/A,FALSE,"Tickmarks"}</definedName>
    <definedName name="abc_1" hidden="1">{#N/A,#N/A,TRUE,"Basic";#N/A,#N/A,TRUE,"EXT-TABLE";#N/A,#N/A,TRUE,"STEEL";#N/A,#N/A,TRUE,"INT-Table";#N/A,#N/A,TRUE,"STEEL";#N/A,#N/A,TRUE,"Door"}</definedName>
    <definedName name="abcd" hidden="1">{#N/A,#N/A,FALSE,"CCTV"}</definedName>
    <definedName name="abv">#REF!</definedName>
    <definedName name="AC">#REF!</definedName>
    <definedName name="Access_Button" hidden="1">"Overall_Civil_List"</definedName>
    <definedName name="AccessDatabase" hidden="1">"D:\98524\Planning\Overall.mdb"</definedName>
    <definedName name="ACESIT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ACT">#REF!</definedName>
    <definedName name="ACTS1">#REF!</definedName>
    <definedName name="ACTS2">#REF!</definedName>
    <definedName name="ACTS3">#REF!</definedName>
    <definedName name="Actwo">#REF!</definedName>
    <definedName name="ACwvu.DETT.._.COSTI." hidden="1">#REF!</definedName>
    <definedName name="ACwvu.inputs._.raw._.data." hidden="1">#REF!</definedName>
    <definedName name="ACwvu.RIEPIL.." hidden="1">#REF!</definedName>
    <definedName name="ACwvu.summary1." hidden="1">#REF!</definedName>
    <definedName name="ACwvu.summary2." hidden="1">#REF!</definedName>
    <definedName name="ACwvu.summary3." hidden="1">#REF!</definedName>
    <definedName name="ad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da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adafs" hidden="1">#REF!</definedName>
    <definedName name="Adct">#REF!</definedName>
    <definedName name="Adcttwo">#REF!</definedName>
    <definedName name="ADDCHARGE">#REF!</definedName>
    <definedName name="addcharge4">#REF!</definedName>
    <definedName name="addhjahdjdadjdhjadad" hidden="1">{#N/A,#N/A,FALSE,"OVERVIEW 98";#N/A,#N/A,FALSE,"PMD 98  to 2000";#N/A,#N/A,FALSE,"SMD 98 to 2000";#N/A,#N/A,FALSE,"Facilities98";#N/A,#N/A,FALSE,"Quality"}</definedName>
    <definedName name="Additions_07GAAPНовыеПриобретения" hidden="1">#REF!</definedName>
    <definedName name="address">#REF!</definedName>
    <definedName name="addrow1">#REF!</definedName>
    <definedName name="addrow4">#REF!</definedName>
    <definedName name="ADDS_TB">#REF!</definedName>
    <definedName name="adf" hidden="1">{#N/A,#N/A,FALSE,"COVER1.XLS ";#N/A,#N/A,FALSE,"RACT1.XLS";#N/A,#N/A,FALSE,"RACT2.XLS";#N/A,#N/A,FALSE,"ECCMP";#N/A,#N/A,FALSE,"WELDER.XLS"}</definedName>
    <definedName name="adf_1" hidden="1">{#N/A,#N/A,FALSE,"COVER1.XLS ";#N/A,#N/A,FALSE,"RACT1.XLS";#N/A,#N/A,FALSE,"RACT2.XLS";#N/A,#N/A,FALSE,"ECCMP";#N/A,#N/A,FALSE,"WELDER.XLS"}</definedName>
    <definedName name="adfaf" hidden="1">#REF!</definedName>
    <definedName name="ADITION" hidden="1">{"'장비'!$A$3:$M$12"}</definedName>
    <definedName name="ADN" hidden="1">#REF!</definedName>
    <definedName name="adyi">#REF!</definedName>
    <definedName name="AE" hidden="1">#REF!</definedName>
    <definedName name="AED">#REF!</definedName>
    <definedName name="aef" hidden="1">{#N/A,#N/A,TRUE,"Лист1";#N/A,#N/A,TRUE,"Лист2";#N/A,#N/A,TRUE,"Лист3"}</definedName>
    <definedName name="aew" hidden="1">{"print95",#N/A,FALSE,"1995E.XLS";"print96",#N/A,FALSE,"1996E.XLS"}</definedName>
    <definedName name="afdasgh" hidden="1">{#N/A,#N/A,FALSE,"CCTV"}</definedName>
    <definedName name="afdsfdg" hidden="1">{#N/A,#N/A,FALSE,"CCTV"}</definedName>
    <definedName name="afe" hidden="1">#REF!</definedName>
    <definedName name="afffgff" hidden="1">{#N/A,#N/A,FALSE,"CCTV"}</definedName>
    <definedName name="afgqwafg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afrn" hidden="1">{#N/A,#N/A,FALSE,"общепр.расх"}</definedName>
    <definedName name="afsf" hidden="1">{#N/A,#N/A,FALSE,"Закрытые кредиты"}</definedName>
    <definedName name="agag" hidden="1">{#N/A,#N/A,TRUE,"Basic";#N/A,#N/A,TRUE,"EXT-TABLE";#N/A,#N/A,TRUE,"STEEL";#N/A,#N/A,TRUE,"INT-Table";#N/A,#N/A,TRUE,"STEEL";#N/A,#N/A,TRUE,"Door"}</definedName>
    <definedName name="agag_1" hidden="1">{#N/A,#N/A,TRUE,"Basic";#N/A,#N/A,TRUE,"EXT-TABLE";#N/A,#N/A,TRUE,"STEEL";#N/A,#N/A,TRUE,"INT-Table";#N/A,#N/A,TRUE,"STEEL";#N/A,#N/A,TRUE,"Door"}</definedName>
    <definedName name="AGLB">#REF!</definedName>
    <definedName name="AGLBCM">#REF!</definedName>
    <definedName name="AGLBCMF">#REF!</definedName>
    <definedName name="Agr_temp" hidden="1">{"Supporting Schedules",#N/A,FALSE,"Results"}</definedName>
    <definedName name="Agr_temp_1" hidden="1">{"Supporting Schedules",#N/A,FALSE,"Results"}</definedName>
    <definedName name="agre">#REF!</definedName>
    <definedName name="AGSB">#REF!</definedName>
    <definedName name="AGSBCM">#REF!</definedName>
    <definedName name="AGSBCMF">#REF!</definedName>
    <definedName name="AGSPHL">1.05</definedName>
    <definedName name="AGXLBCM">#REF!</definedName>
    <definedName name="AGXLBCMF">#REF!</definedName>
    <definedName name="Ah">#REF!</definedName>
    <definedName name="Ahtwo">#REF!</definedName>
    <definedName name="AJ32aj500">#REF!</definedName>
    <definedName name="ajerje_03_2005" hidden="1">{#N/A,#N/A,TRUE,"Sales Comparison";#N/A,#N/A,TRUE,"Cum. Summary FFR";#N/A,#N/A,TRUE,"Monthly Summary FFR";#N/A,#N/A,TRUE,"Cum. Summary TL";#N/A,#N/A,TRUE,"Monthly Summary TL"}</definedName>
    <definedName name="ALDO" hidden="1">#REF!</definedName>
    <definedName name="ALL">#REF!</definedName>
    <definedName name="All_Item">#REF!</definedName>
    <definedName name="alldef" hidden="1">#REF!</definedName>
    <definedName name="alle">#REF!</definedName>
    <definedName name="Allow_Pb">#REF!</definedName>
    <definedName name="Allowance_Discount">#REF!</definedName>
    <definedName name="Allowance_Discount_CT2">#REF!</definedName>
    <definedName name="AllowBU">#REF!</definedName>
    <definedName name="AllowBUfrac">#REF!</definedName>
    <definedName name="AllowBUfracmid">#REF!</definedName>
    <definedName name="Allowbufractwo">#REF!</definedName>
    <definedName name="AllowBUtwo">#REF!</definedName>
    <definedName name="ALPIN">#N/A</definedName>
    <definedName name="ALPJYOU">#N/A</definedName>
    <definedName name="ALPTOI">#N/A</definedName>
    <definedName name="am">#REF!</definedName>
    <definedName name="amit">#REF!</definedName>
    <definedName name="AMK_GES">#REF!</definedName>
    <definedName name="ammo">#REF!</definedName>
    <definedName name="amo">#REF!</definedName>
    <definedName name="Angebot_Basis">#REF!</definedName>
    <definedName name="Angebot_VarA">#REF!</definedName>
    <definedName name="Angebot_VarB">#REF!</definedName>
    <definedName name="anscount" hidden="1">1</definedName>
    <definedName name="anz_seiten">#REF!</definedName>
    <definedName name="Anzahl_Ges">#REF!</definedName>
    <definedName name="Anzahl_Nr">#REF!</definedName>
    <definedName name="Anzahl_RSB">#REF!</definedName>
    <definedName name="Anzahl_Tie_In">#REF!</definedName>
    <definedName name="AO">#REF!</definedName>
    <definedName name="API_DISC">#REF!</definedName>
    <definedName name="app" hidden="1">#REF!</definedName>
    <definedName name="App_Code">#REF!</definedName>
    <definedName name="append">#REF!</definedName>
    <definedName name="APPO" hidden="1">#REF!</definedName>
    <definedName name="Approvedby">#REF!</definedName>
    <definedName name="ApprovedbyDate">#REF!</definedName>
    <definedName name="APR_COST">#REF!</definedName>
    <definedName name="APR_PERIOD">#REF!</definedName>
    <definedName name="aqsd" hidden="1">#REF!</definedName>
    <definedName name="aqw" hidden="1">{#N/A,#N/A,FALSE,"SUBS";#N/A,#N/A,FALSE,"SUPERS";#N/A,#N/A,FALSE,"FINISHES";#N/A,#N/A,FALSE,"FITTINGS";#N/A,#N/A,FALSE,"SERVICES";#N/A,#N/A,FALSE,"SITEWORKS"}</definedName>
    <definedName name="AQW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QWS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AR_AGE_REPORT" hidden="1">#N/A</definedName>
    <definedName name="Area">"$#ССЫЛ!.$C$22"</definedName>
    <definedName name="Area_1">NA()</definedName>
    <definedName name="AREA_STAMPA_MI">#REF!</definedName>
    <definedName name="AREA_TOTAL">#REF!</definedName>
    <definedName name="area1">#REF!</definedName>
    <definedName name="area2">#REF!</definedName>
    <definedName name="arhwegwer" hidden="1">{#N/A,#N/A,TRUE,"Basic";#N/A,#N/A,TRUE,"EXT-TABLE";#N/A,#N/A,TRUE,"STEEL";#N/A,#N/A,TRUE,"INT-Table";#N/A,#N/A,TRUE,"STEEL";#N/A,#N/A,TRUE,"Door"}</definedName>
    <definedName name="arhwegwer_1" hidden="1">{#N/A,#N/A,TRUE,"Basic";#N/A,#N/A,TRUE,"EXT-TABLE";#N/A,#N/A,TRUE,"STEEL";#N/A,#N/A,TRUE,"INT-Table";#N/A,#N/A,TRUE,"STEEL";#N/A,#N/A,TRUE,"Door"}</definedName>
    <definedName name="as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AS_1" hidden="1">{#N/A,#N/A,FALSE,"COVER.XLS";#N/A,#N/A,FALSE,"RACT1.XLS";#N/A,#N/A,FALSE,"RACT2.XLS";#N/A,#N/A,FALSE,"ECCMP";#N/A,#N/A,FALSE,"WELDER.XLS"}</definedName>
    <definedName name="As_Build">#REF!</definedName>
    <definedName name="AS2DocOpenMode" hidden="1">"AS2DocumentEdit"</definedName>
    <definedName name="AS2DocOpenMode1" hidden="1">"AS2DocumentBrowse"</definedName>
    <definedName name="AS2HasNoAutoHeaderFooter" hidden="1">" "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VersionLS" hidden="1">300</definedName>
    <definedName name="As3openMode" hidden="1">"AS2DocumentEdit"</definedName>
    <definedName name="asad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asas">#REF!,#REF!</definedName>
    <definedName name="asasa" hidden="1">{#N/A,#N/A,FALSE,"ihz. icmal";#N/A,#N/A,FALSE,"avans";#N/A,#N/A,FALSE,"mal_FF_icm";#N/A,#N/A,FALSE,"fat_ihz";#N/A,#N/A,FALSE,"söz_fiy_fark";#N/A,#N/A,FALSE,"kap2"}</definedName>
    <definedName name="asasasa" hidden="1">{#N/A,#N/A,FALSE,"ihz. icmal";#N/A,#N/A,FALSE,"avans";#N/A,#N/A,FALSE,"mal_FF_icm";#N/A,#N/A,FALSE,"fat_ihz";#N/A,#N/A,FALSE,"söz_fiy_fark";#N/A,#N/A,FALSE,"kap2"}</definedName>
    <definedName name="ASC" hidden="1">{"'现金流量表（全部投资）'!$B$4:$P$23"}</definedName>
    <definedName name="asd">#REF!</definedName>
    <definedName name="asda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asdasd">#REF!</definedName>
    <definedName name="asdf" hidden="1">{#N/A,#N/A,FALSE,"ihz. icmal";#N/A,#N/A,FALSE,"avans";#N/A,#N/A,FALSE,"mal_FF_icm";#N/A,#N/A,FALSE,"fat_ihz";#N/A,#N/A,FALSE,"söz_fiy_fark";#N/A,#N/A,FALSE,"kap2"}</definedName>
    <definedName name="asdfasdf" hidden="1">#REF!</definedName>
    <definedName name="asdfg" hidden="1">#REF!,#REF!,#REF!</definedName>
    <definedName name="asdsa" hidden="1">30</definedName>
    <definedName name="as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asfd4" hidden="1">{"'Sheet1'!$A$1:$G$96","'Sheet1'!$A$1:$H$96"}</definedName>
    <definedName name="asfd41" hidden="1">{"'Sheet1'!$A$1:$G$96","'Sheet1'!$A$1:$H$96"}</definedName>
    <definedName name="asgda">#REF!</definedName>
    <definedName name="Aslot">#REF!</definedName>
    <definedName name="Aslotmid">#REF!</definedName>
    <definedName name="Aslottwo">#REF!</definedName>
    <definedName name="ASME_Festigkeiten">#REF!</definedName>
    <definedName name="ASP">#REF!</definedName>
    <definedName name="ASS_SUPER_RATE">#REF!</definedName>
    <definedName name="assaa" hidden="1">#REF!</definedName>
    <definedName name="AsSoldExcRev" hidden="1">{#N/A,#N/A,FALSE,"Sum6 (1)"}</definedName>
    <definedName name="asss" hidden="1">#REF!</definedName>
    <definedName name="AT_DH_COST">#REF!</definedName>
    <definedName name="AT_EA_COST">#REF!</definedName>
    <definedName name="AtCash">#REF!</definedName>
    <definedName name="ATempDir">#REF!</definedName>
    <definedName name="ATM">#REF!</definedName>
    <definedName name="Attachment" hidden="1">{"'Flowchart'!$A$2:$AO$22"}</definedName>
    <definedName name="Auszeichen1">#REF!</definedName>
    <definedName name="Auszeichen2">#REF!</definedName>
    <definedName name="avi">#REF!</definedName>
    <definedName name="avinash">#REF!</definedName>
    <definedName name="AW" hidden="1">{#N/A,#N/A,FALSE,"ihz. icmal";#N/A,#N/A,FALSE,"avans";#N/A,#N/A,FALSE,"mal_FF_icm";#N/A,#N/A,FALSE,"fat_ihz";#N/A,#N/A,FALSE,"söz_fiy_fark";#N/A,#N/A,FALSE,"kap2"}</definedName>
    <definedName name="awe" hidden="1">{#N/A,#N/A,FALSE,"ihz. icmal";#N/A,#N/A,FALSE,"avans";#N/A,#N/A,FALSE,"mal_FF_icm";#N/A,#N/A,FALSE,"fat_ihz";#N/A,#N/A,FALSE,"söz_fiy_fark";#N/A,#N/A,FALSE,"kap2"}</definedName>
    <definedName name="awfasdf">{"A  Assumptions";"B  Sources and Uses";"C  Capitalization";"D  Balance Sheet";"E  Income Statement";"F  Mulitiples";"G  Cash Flow";"H  Reserves"}</definedName>
    <definedName name="awq" hidden="1">{"print95",#N/A,FALSE,"1995E.XLS";"print96",#N/A,FALSE,"1996E.XLS"}</definedName>
    <definedName name="aw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aws" hidden="1">{"print95",#N/A,FALSE,"1995E.XLS";"print96",#N/A,FALSE,"1996E.XLS"}</definedName>
    <definedName name="axdr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AY32ay500">#REF!</definedName>
    <definedName name="azqwsxde" hidden="1">{"Table A,pg 1",#N/A,FALSE,"Table A-Prov GUR";"Table A,pg 2",#N/A,FALSE,"Table A-Prov GUR"}</definedName>
    <definedName name="B">#REF!</definedName>
    <definedName name="B.F.İŞL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.F.İŞL.İHZARA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b_ACCESS_STRING" hidden="1">#REF!</definedName>
    <definedName name="b_ALLOCATION_CODE" hidden="1">#REF!</definedName>
    <definedName name="b_ALLOCATION_ID" hidden="1">#REF!</definedName>
    <definedName name="b_ALLOCATION_NAME" hidden="1">#REF!</definedName>
    <definedName name="B_ANSTR">#REF!</definedName>
    <definedName name="b_BALANCE_CODE" hidden="1">#REF!</definedName>
    <definedName name="b_BALANCE_ID" hidden="1">#REF!</definedName>
    <definedName name="b_BALANCE_NAME" hidden="1">#REF!</definedName>
    <definedName name="b_BASE_CALC_CODE" hidden="1">#REF!</definedName>
    <definedName name="b_BASE_CALC_ID" hidden="1">#REF!</definedName>
    <definedName name="b_BASE_CALC_NAME" hidden="1">#REF!</definedName>
    <definedName name="b_BASE_SCENARIO_CODE" hidden="1">#REF!</definedName>
    <definedName name="b_BASE_SCENARIO_ID" hidden="1">#REF!</definedName>
    <definedName name="b_BASE_SCENARIO_NAME" hidden="1">#REF!</definedName>
    <definedName name="b_BASEMARKET_CODE" hidden="1">#REF!</definedName>
    <definedName name="b_BASEMARKET_ID" hidden="1">#REF!</definedName>
    <definedName name="b_BASEMARKET_NAME" hidden="1">#REF!</definedName>
    <definedName name="b_BEG_DATE" hidden="1">#REF!</definedName>
    <definedName name="b_BINDING_CODE" hidden="1">#REF!</definedName>
    <definedName name="b_BINDING_ID" hidden="1">#REF!</definedName>
    <definedName name="b_BINDING_NAME" hidden="1">#REF!</definedName>
    <definedName name="b_BONUS_CODE" hidden="1">#REF!</definedName>
    <definedName name="b_BONUS_ID" hidden="1">#REF!</definedName>
    <definedName name="b_BONUS_NAME" hidden="1">#REF!</definedName>
    <definedName name="b_CAPEX_ALGORITHM" hidden="1">#REF!</definedName>
    <definedName name="b_CHANGE_DATE" hidden="1">#REF!</definedName>
    <definedName name="b_CODE" hidden="1">#REF!</definedName>
    <definedName name="b_CREATE_DATE" hidden="1">#REF!</definedName>
    <definedName name="b_CUSTOM_CODE" hidden="1">#REF!</definedName>
    <definedName name="b_CUSTOM_ID" hidden="1">#REF!</definedName>
    <definedName name="b_CUSTOM_NAME" hidden="1">#REF!</definedName>
    <definedName name="B_DÄM">#REF!</definedName>
    <definedName name="b_DEMAND_CODE" hidden="1">#REF!</definedName>
    <definedName name="b_DEMAND_ID" hidden="1">#REF!</definedName>
    <definedName name="b_DEMAND_NAME" hidden="1">#REF!</definedName>
    <definedName name="b_DEPT_ID" hidden="1">#REF!</definedName>
    <definedName name="b_DEPT_NAME" hidden="1">#REF!</definedName>
    <definedName name="B_E">#REF!</definedName>
    <definedName name="b_END_DATE" hidden="1">#REF!</definedName>
    <definedName name="b_EPOCH_COUNT" hidden="1">#REF!</definedName>
    <definedName name="b_EPOCH_INTERVAL_NAME" hidden="1">#REF!</definedName>
    <definedName name="B_FAUS">#REF!</definedName>
    <definedName name="b_FIXCOST_CODE" hidden="1">#REF!</definedName>
    <definedName name="b_FIXCOST_ID" hidden="1">#REF!</definedName>
    <definedName name="b_FIXCOST_NAME" hidden="1">#REF!</definedName>
    <definedName name="b_FOLDER_ID" hidden="1">#REF!</definedName>
    <definedName name="b_FOLDER_NAME" hidden="1">#REF!</definedName>
    <definedName name="b_FOLDER_PARENT_ID" hidden="1">#REF!</definedName>
    <definedName name="b_FORECAST_CODE" hidden="1">#REF!</definedName>
    <definedName name="b_FORECAST_ID" hidden="1">#REF!</definedName>
    <definedName name="b_FORECAST_NAME" hidden="1">#REF!</definedName>
    <definedName name="b_FREIGHT_CODE" hidden="1">#REF!</definedName>
    <definedName name="b_FREIGHT_ID" hidden="1">#REF!</definedName>
    <definedName name="b_FREIGHT_NAME" hidden="1">#REF!</definedName>
    <definedName name="B_FSCH">#REF!</definedName>
    <definedName name="b_GROUP_LIMIT_CODE" hidden="1">#REF!</definedName>
    <definedName name="b_GROUP_LIMIT_ID" hidden="1">#REF!</definedName>
    <definedName name="b_GROUP_LIMIT_NAME" hidden="1">#REF!</definedName>
    <definedName name="b_ID" hidden="1">#REF!</definedName>
    <definedName name="b_IS_ARCHIVED" hidden="1">#REF!</definedName>
    <definedName name="b_IS_BASE" hidden="1">#REF!</definedName>
    <definedName name="b_IS_DEPT_READY" hidden="1">#REF!</definedName>
    <definedName name="b_IS_READ_ONLY" hidden="1">#REF!</definedName>
    <definedName name="b_MARKET_CODE" hidden="1">#REF!</definedName>
    <definedName name="b_MARKET_ID" hidden="1">#REF!</definedName>
    <definedName name="b_MARKET_NAME" hidden="1">#REF!</definedName>
    <definedName name="B_MR">#REF!</definedName>
    <definedName name="b_NAME" hidden="1">#REF!</definedName>
    <definedName name="b_NOTE" hidden="1">#REF!</definedName>
    <definedName name="B_OK_Click" localSheetId="0">#REF!</definedName>
    <definedName name="B_OK_Click" localSheetId="2">#REF!</definedName>
    <definedName name="B_OK_Click" localSheetId="1">#REF!</definedName>
    <definedName name="B_OK_Click">#REF!</definedName>
    <definedName name="b_OPTIMEX_CODE" hidden="1">#REF!</definedName>
    <definedName name="b_OPTIMEX_ID" hidden="1">#REF!</definedName>
    <definedName name="b_OPTIMEX_NAME" hidden="1">#REF!</definedName>
    <definedName name="b_OPTIMEX_VERSION" hidden="1">#REF!</definedName>
    <definedName name="b_OPTIMEX_VERSION_NAME" hidden="1">#REF!</definedName>
    <definedName name="b_OWNER_ID" hidden="1">#REF!</definedName>
    <definedName name="b_OWNER_NAME" hidden="1">#REF!</definedName>
    <definedName name="b_OWNER_USER" hidden="1">#REF!</definedName>
    <definedName name="b_PARITY_CODE" hidden="1">#REF!</definedName>
    <definedName name="b_PARITY_ID" hidden="1">#REF!</definedName>
    <definedName name="b_PARITY_NAME" hidden="1">#REF!</definedName>
    <definedName name="b_PATH" hidden="1">#REF!</definedName>
    <definedName name="b_PRICING_CODE" hidden="1">#REF!</definedName>
    <definedName name="b_PRICING_ID" hidden="1">#REF!</definedName>
    <definedName name="b_PRICING_NAME" hidden="1">#REF!</definedName>
    <definedName name="B_RL">#REF!</definedName>
    <definedName name="b_ROUTE_CODE" hidden="1">#REF!</definedName>
    <definedName name="b_ROUTE_ID" hidden="1">#REF!</definedName>
    <definedName name="b_ROUTE_NAME" hidden="1">#REF!</definedName>
    <definedName name="b_SENSITIVITY_CODE" hidden="1">#REF!</definedName>
    <definedName name="b_SENSITIVITY_ID" hidden="1">#REF!</definedName>
    <definedName name="b_SENSITIVITY_NAME" hidden="1">#REF!</definedName>
    <definedName name="b_SPENDING_CODE" hidden="1">#REF!</definedName>
    <definedName name="b_SPENDING_ID" hidden="1">#REF!</definedName>
    <definedName name="b_SPENDING_NAME" hidden="1">#REF!</definedName>
    <definedName name="B_STK">#REF!</definedName>
    <definedName name="b_SYS_DATE" hidden="1">#REF!</definedName>
    <definedName name="b_SYS_USER" hidden="1">#REF!</definedName>
    <definedName name="b_SYS_VERSION" hidden="1">#REF!</definedName>
    <definedName name="b_TRANCHE_CODE" hidden="1">#REF!</definedName>
    <definedName name="b_TRANCHE_ID" hidden="1">#REF!</definedName>
    <definedName name="b_TRANCHE_NAME" hidden="1">#REF!</definedName>
    <definedName name="b_TRANSFERT_CODE" hidden="1">#REF!</definedName>
    <definedName name="b_TRANSFERT_ID" hidden="1">#REF!</definedName>
    <definedName name="b_TRANSFERT_NAME" hidden="1">#REF!</definedName>
    <definedName name="b1_BALANCE_NAME" hidden="1">#REF!</definedName>
    <definedName name="b1_BASE_SCENARIO_NAME" hidden="1">#REF!</definedName>
    <definedName name="b1_BEG_DATE" hidden="1">#REF!</definedName>
    <definedName name="b1_BINDING_NAME" hidden="1">#REF!</definedName>
    <definedName name="b1_BONUS_NAME" hidden="1">#REF!</definedName>
    <definedName name="b1_CAPEX_ALGORITHM" hidden="1">#REF!</definedName>
    <definedName name="b1_CODE" hidden="1">#REF!</definedName>
    <definedName name="b1_CUSTOM_NAME" hidden="1">#REF!</definedName>
    <definedName name="b1_DEMAND_NAME" hidden="1">#REF!</definedName>
    <definedName name="b1_END_DATE" hidden="1">#REF!</definedName>
    <definedName name="b1_EPOCH_INTERVAL_NAME" hidden="1">#REF!</definedName>
    <definedName name="b1_FIXCOST_NAME" hidden="1">#REF!</definedName>
    <definedName name="b1_FORECAST_NAME" hidden="1">#REF!</definedName>
    <definedName name="b1_NAME" hidden="1">#REF!</definedName>
    <definedName name="b1_NOTE" hidden="1">#REF!</definedName>
    <definedName name="b1_OPTIMEX_VERSION_NAME" hidden="1">#REF!</definedName>
    <definedName name="b1_OWNER_NAME" hidden="1">#REF!</definedName>
    <definedName name="b1_PATH" hidden="1">#REF!</definedName>
    <definedName name="b1_PRICING_NAME" hidden="1">#REF!</definedName>
    <definedName name="b1_ROUTE_NAME" hidden="1">#REF!</definedName>
    <definedName name="b1_SENSITIVITY_NAME" hidden="1">#REF!</definedName>
    <definedName name="b1_SPENDING_NAME" hidden="1">#REF!</definedName>
    <definedName name="b1_SYS_DATE" hidden="1">#REF!</definedName>
    <definedName name="b1_TRANCHE_NAME" hidden="1">#REF!</definedName>
    <definedName name="b1_TRANSFERT_NAME" hidden="1">#REF!</definedName>
    <definedName name="BA">#REF!</definedName>
    <definedName name="backto_menu">#N/A</definedName>
    <definedName name="Balance">#REF!</definedName>
    <definedName name="Balanced_Type">#REF!</definedName>
    <definedName name="Balancing_Type">#REF!</definedName>
    <definedName name="baredef" hidden="1">#REF!</definedName>
    <definedName name="BASE">#REF!</definedName>
    <definedName name="BASE_PRICE_1">#REF!</definedName>
    <definedName name="Basic_01_1">#REF!</definedName>
    <definedName name="Basic_01_2">#REF!</definedName>
    <definedName name="Basic_01_3">#REF!</definedName>
    <definedName name="Basic_02_1">#REF!</definedName>
    <definedName name="Basic_02_2">#REF!</definedName>
    <definedName name="Basic_02_3">#REF!</definedName>
    <definedName name="Basic_03_1">#REF!</definedName>
    <definedName name="Basic_03_2">#REF!</definedName>
    <definedName name="Basic_03_3">#REF!</definedName>
    <definedName name="Basic_04_1">#REF!</definedName>
    <definedName name="Basic_04_2">#REF!</definedName>
    <definedName name="Basic_04_3">#REF!</definedName>
    <definedName name="Basic_05_1">#REF!</definedName>
    <definedName name="Basic_05_2">#REF!</definedName>
    <definedName name="Basic_05_3">#REF!</definedName>
    <definedName name="Basic_06_1">#REF!</definedName>
    <definedName name="Basic_06_2">#REF!</definedName>
    <definedName name="Basic_06_3">#REF!</definedName>
    <definedName name="Basic_07_1">#REF!</definedName>
    <definedName name="Basic_07_2">#REF!</definedName>
    <definedName name="Basic_07_3">#REF!</definedName>
    <definedName name="Basic_08_1">#REF!</definedName>
    <definedName name="Basic_08_2">#REF!</definedName>
    <definedName name="Basic_08_3">#REF!</definedName>
    <definedName name="Basic_09_1">#REF!</definedName>
    <definedName name="Basic_09_2">#REF!</definedName>
    <definedName name="Basic_09_3">#REF!</definedName>
    <definedName name="Basic_10_1">#REF!</definedName>
    <definedName name="Basic_10_2">#REF!</definedName>
    <definedName name="Basic_10_3">#REF!</definedName>
    <definedName name="Basic_11_2">#REF!</definedName>
    <definedName name="Basic_11_3">#REF!</definedName>
    <definedName name="Basic_12_1">#REF!</definedName>
    <definedName name="Basic_12_2">#REF!</definedName>
    <definedName name="Basic_12_3">#REF!</definedName>
    <definedName name="Basic_13_1">#REF!</definedName>
    <definedName name="Basic_13_2">#REF!</definedName>
    <definedName name="Basic_13_3">#REF!</definedName>
    <definedName name="Basic_14_2">#REF!</definedName>
    <definedName name="Basic_14_3">#REF!</definedName>
    <definedName name="BasisDir">#REF!</definedName>
    <definedName name="bb" hidden="1">{#N/A,#N/A,FALSE,"activity"}</definedName>
    <definedName name="bbb" hidden="1">{#N/A,#N/A,FALSE,"activity"}</definedName>
    <definedName name="BBB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bbb" hidden="1">{#N/A,#N/A,FALSE,"activity"}</definedName>
    <definedName name="bbbb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bbbbbb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bbv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BC">#REF!</definedName>
    <definedName name="bcd" hidden="1">{#N/A,#N/A,TRUE,"Basic";#N/A,#N/A,TRUE,"EXT-TABLE";#N/A,#N/A,TRUE,"STEEL";#N/A,#N/A,TRUE,"INT-Table";#N/A,#N/A,TRUE,"STEEL";#N/A,#N/A,TRUE,"Door"}</definedName>
    <definedName name="BCSC">#REF!</definedName>
    <definedName name="BD">#REF!</definedName>
    <definedName name="BEC">#REF!</definedName>
    <definedName name="Behälter">#REF!</definedName>
    <definedName name="Behälter1">#REF!</definedName>
    <definedName name="Behälter2">#REF!</definedName>
    <definedName name="Behälter3">#REF!</definedName>
    <definedName name="BELL" hidden="1">{#N/A,#N/A,TRUE,"Basic";#N/A,#N/A,TRUE,"EXT-TABLE";#N/A,#N/A,TRUE,"STEEL";#N/A,#N/A,TRUE,"INT-Table";#N/A,#N/A,TRUE,"STEEL";#N/A,#N/A,TRUE,"Door"}</definedName>
    <definedName name="Bellows">#REF!</definedName>
    <definedName name="Bereich">#REF!</definedName>
    <definedName name="Bereich2">#REF!</definedName>
    <definedName name="Bereiche">#REF!</definedName>
    <definedName name="BERK" hidden="1">#REF!</definedName>
    <definedName name="BestDir">#REF!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PZ0QJ1KUFZTH50APPT48K5C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4YIX1XHA0LG7O0OTAHFKYN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TRKKVCHOZ0YGID6HZ49LJTO" hidden="1">#REF!</definedName>
    <definedName name="BEx1N3CUJ3UX61X38ZAJVPEN4KMC" hidden="1">#REF!</definedName>
    <definedName name="BEx1N5B23O42L7TXSU8XRFFZOUP8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QA54J2A4I7IBQR19BTY28ZMR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0TK9OUVJ7QGAT9B8M6TON6W" hidden="1">#REF!</definedName>
    <definedName name="BEx1V67SEV778NVW68J8W5SND1J7" hidden="1">#REF!</definedName>
    <definedName name="BEx1VIY9SQLRESD11CC4PHYT0XSG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JJCE30BMGFIWRDJFR306ML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IO0BODOSO9ASHUXN8TTUT5N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HXKUS68BAMIP6UM9PA5GW3YF" hidden="1">#REF!</definedName>
    <definedName name="BEx3I09YVXO0G4X7KGSA4WGORM35" hidden="1">#REF!</definedName>
    <definedName name="BEx3I64H6TX1TZAX0HTIWHU1FKVG" hidden="1">#REF!</definedName>
    <definedName name="BEx3ICF1GY8HQEBIU9S43PDJ90BX" hidden="1">#REF!</definedName>
    <definedName name="BEx3IE29UN24CWAHTS9PTC3MLESP" hidden="1">#REF!</definedName>
    <definedName name="BEx3ILPCBXXTRJKJAAQ00616Y0H5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6JOZ5QLEVGTVAM4N7OAO38I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PCSI16OAB2L9M9IULQMQ9J9" hidden="1">#REF!</definedName>
    <definedName name="BEx3U64YUOZ419BAJS2W78UMATAW" hidden="1">#REF!</definedName>
    <definedName name="BEx3U6FSWJ5YV5QQA7L2LUTF5FF7" hidden="1">#REF!</definedName>
    <definedName name="BEx3U94WCEA5DKMWBEX1GU0LKYG2" hidden="1">#REF!</definedName>
    <definedName name="BEx3U9VZ8SQVYS6ZA038J7AP7ZGW" hidden="1">#REF!</definedName>
    <definedName name="BEx3UEJ3WG6J2CB9S0N52E7RQWY6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AKDCPU8BZLPUQ4X4EEPLOMO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2H7AH10YSZZVJJVS1ZGYCN8" hidden="1">#REF!</definedName>
    <definedName name="BEx5C49ZFH8TO9ZU55729C3F7XG7" hidden="1">#REF!</definedName>
    <definedName name="BEx5C8GZQK13G60ZM70P63I5OS0L" hidden="1">#REF!</definedName>
    <definedName name="BEx5C9O59V9QGOMEC76KR1CIH42V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5PGIK55SFV2XWCJDI5CB40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T06O1L665A5C6ZND5H92NLE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Z9JMKHNLFWLVUB1WP5B39BL" hidden="1">#REF!</definedName>
    <definedName name="BEx5I244LQHZTF3XI66J8705R9XX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KNOJNZ20SETW85UIO51ZCRB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I1EUFCZ2EC03IQOB5TJR9PA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W6BJ8ENO3J25WNM5H5APKA3" hidden="1">#REF!</definedName>
    <definedName name="BEx755GRRD9BL27YHLH5QWIYLWB7" hidden="1">#REF!</definedName>
    <definedName name="BEx759D1D5SXS5ELLZVBI0SXYUNF" hidden="1">#REF!</definedName>
    <definedName name="BEx75E06OA665MKB85NZWOUH3N58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50VAAQOUY7BD21PCK62GD2B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BVXB06UZYUGL9YTGK1TLIH6A" hidden="1">#REF!</definedName>
    <definedName name="BEx7C04AM39DQMC1TIX7CFZ2ADHX" hidden="1">#REF!</definedName>
    <definedName name="BEx7C40F0PQURHPI6YQ39NFIR86Z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BBNEUW26B1PVEON48XAV04Y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2MWM4PWDFWLSFB0A1SITR69" hidden="1">#REF!</definedName>
    <definedName name="BEx7HFTIA8AC8BR8HKIN81VE1SGW" hidden="1">#REF!</definedName>
    <definedName name="BEx7HGVBEF4LEIF6RC14N3PSU461" hidden="1">#REF!</definedName>
    <definedName name="BEx7HKBHWNSM0WF198070F1R3FKE" hidden="1">#REF!</definedName>
    <definedName name="BEx7HQ5T9FZ42QWS09UO4DT42Y0R" hidden="1">#REF!</definedName>
    <definedName name="BEx7HRCZE3CVGON1HV07MT5MNDZ3" hidden="1">#REF!</definedName>
    <definedName name="BEx7HWGE2CANG5M17X4C8YNC3N8F" hidden="1">#REF!</definedName>
    <definedName name="BEx7I8FZ96C5JAHXS18ZV0912LZP" hidden="1">#REF!</definedName>
    <definedName name="BEx7IBAE9NELKSYXZQ1PELVPVR8Q" hidden="1">#REF!</definedName>
    <definedName name="BEx7IBVYN47SFZIA0K4MDKQZNN9V" hidden="1">#REF!</definedName>
    <definedName name="BEx7IV2IJ5WT7UC0UG7WP0WF2JZI" hidden="1">#REF!</definedName>
    <definedName name="BEx7IXGU74GE5E4S6W4Z13AR092Y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8ZSSLRG5OEOR8Y2LZCEI8UAF6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ROHQ7N99EVY71G6M2WOJD0Z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NKFJL8HJRLOHQDIQR6J1FMP" hidden="1">#REF!</definedName>
    <definedName name="BEx9BYSYW7QCPXS2NAVLFAU5Y2Z2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FXGNW009FFG9CUJ9YG1I4Z5Q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7RKBOUM1843O514I3JV3PUR" hidden="1">#REF!</definedName>
    <definedName name="BEx9H8YR0E906F1JXZMBX3LNT004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6CH5E7YZPER7HXEIOIKGPCA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442RX0T3L6HUL6X5T21CENW6" hidden="1">#REF!</definedName>
    <definedName name="BExB4ADD0L7417CII901XTFKXD1J" hidden="1">#REF!</definedName>
    <definedName name="BExB4DO1V1NL2AVK5YE1RSL5RYHL" hidden="1">#REF!</definedName>
    <definedName name="BExB4DYU06HCGRIPBSWRCXK804UM" hidden="1">#REF!</definedName>
    <definedName name="BExB4MNQHOEQKCVXL4BLNJ5T7WEF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NAWKGLC08TMVINM7QF3JUH0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8A6RKYMOIL0C766ZDFW0ZKV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TZ40UQ36UE8I31O9WA8ZK34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MOFTXSUEC1T46LR1UPYRCX5" hidden="1">#REF!</definedName>
    <definedName name="BExCSSDG3TM6TPKS19E9QYJEELZ6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4RVJKA2I42V4AM6I3XN2EGS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OHKE1F99YUIGGA30QGJ1NNE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DYNMPI5WKNXKC04MTRIJRPA" hidden="1">#REF!</definedName>
    <definedName name="BExD1OAU9OXQAZA4D70HP72CU6GB" hidden="1">#REF!</definedName>
    <definedName name="BExD1Y1JV61416YA1XRQHKWPZIE7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7SQ7VKAIWXMZODUUJ64O4IX4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OBX3WECDMYCV9RLN49APTXMM" hidden="1">#REF!</definedName>
    <definedName name="BExEOMEQ8BSC6LK9I9OO8NH78T2D" hidden="1">#REF!</definedName>
    <definedName name="BExEP4E4F36662JDI0TOD85OP7X9" hidden="1">#REF!</definedName>
    <definedName name="BExEPN9VIYI0FVL0HLZQXJFO6TT0" hidden="1">#REF!</definedName>
    <definedName name="BExEPV2DQWV1CQX95UTPYAHPY2ZS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5UUE2G4268565LH4RFIFZQ5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EZJM3IST1RU6JXJBIEL7GYM7U" hidden="1">#REF!</definedName>
    <definedName name="BExF00EBDFZXUDSZFLHJIMLRDM6Y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1DJ2QB30BIVFLAPDTR5LRQ8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6QC9NTH2TJUBLMKHJ9S8P2B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LCIRX54BPVDCXAB7MVAJA8X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7O951CF8UJF3KBDNR0E83C1" hidden="1">#REF!</definedName>
    <definedName name="BExF6DD9Q0L7H74LCPEDX46FIKNS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SI36S8QJP6U2DTHG9TIKFEA" hidden="1">#REF!</definedName>
    <definedName name="BExF6ZE8D5CMPJPRWT6S4HM56LPF" hidden="1">#REF!</definedName>
    <definedName name="BExF76FV8SF7AJK7B35AL7VTZF6D" hidden="1">#REF!</definedName>
    <definedName name="BExF79ABIPLT084PR522ZNFRBJTZ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NZTGZ2I5ZKJQWTQLON09RYGC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21E701LW3K4YRUQTZMFTJRG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AMPG6H9EXA9ML6EZVGGA" hidden="1">#REF!</definedName>
    <definedName name="BExGW4H5L1WOK6IDL9R96GEW66YE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6SZZM8ONNSC0ET3FG4I4QES" hidden="1">#REF!</definedName>
    <definedName name="BExH2GJQR4JALNB314RY0LDI49VH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DV5E7I8TXYMKQH6KR4B169O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J6RC3Q5KUVXMB4CV1YHUI4U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LT8JYAMGE5HTN4D1YHZF3V" hidden="1">#REF!</definedName>
    <definedName name="BExIPG040Q08EWIWL6CAVR3GRI43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6R8MUYUEMWUNAQXMS7SYMW8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WKKO1EWP8IEQANZB2E3ZHXS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KT5PAP7472P0SSEL72E0BIT" hidden="1">#REF!</definedName>
    <definedName name="BExIXM5R87ZL3FHALWZXYCPHGX3E" hidden="1">#REF!</definedName>
    <definedName name="BExIXNCWD0VJLWSVBPGKHXDMRFG8" hidden="1">#REF!</definedName>
    <definedName name="BExIXS036ZCKT2Z8XZKLZ8PFWQGL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RQWRHINMFN8U9733CNFMXX9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YJC4EVEV54F82K6VKP7Q3OU" hidden="1">#REF!</definedName>
    <definedName name="BExKG013WQ2S2SMTAARKUI76FMC3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HTS2Z9AO60DWE5XMBG5YAT7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HXPMCTW8QZX0BM8ORFUHVGZE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U87ZKSOC2DYZWFK6SAK9I8E" hidden="1">#REF!</definedName>
    <definedName name="BExKJ449HLYX2DJ9UF0H9GTPSQ73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B39Q6HD4PAC2WLOPKCXCQ5T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3DRR2ELTWUFH55GSD3VM5HT" hidden="1">#REF!</definedName>
    <definedName name="BExKR3TU3Y4QXDZHTNUSCMZLI99A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RYEDV822JR8A3479TVS3I8TM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CWCO14KEVVQ767RK3MZF1MB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DYXVCB5M7RVNQDI3NENT1YYU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OWPB34KPZ76M2KIX2C9R2VB" hidden="1">#REF!</definedName>
    <definedName name="BExMHSSYC6KVHA3QDTSYPN92TWMI" hidden="1">#REF!</definedName>
    <definedName name="BExMI0WA793SF41LQ40A28U8OXQY" hidden="1">#REF!</definedName>
    <definedName name="BExMI3AJ9477KDL4T9DHET4LJJTW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MT8QR64O37BVK6ORTH3IJ4BZ1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9M2G8NWQ30QL2FWEZQLD9TU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EZOYGNNTZH28S5NHVOL34SLF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XO9JE5XSE9GC3I6O21UEKAO" hidden="1">#REF!</definedName>
    <definedName name="BExOH8WRLAHOCVLTZGEK1DJGF1DJ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2SIPP1K89I4ZJQ5PH8VM0S2C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0QGXA4BDDLGPDAUXQEXWVIK" hidden="1">#REF!</definedName>
    <definedName name="BExQC5TWT21CGBKD0IHAXTIN2QB8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KMH53913JW88ZT4F1MDE4K2T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OEBZLEMUVEF19ZK6PXGXC98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7Y1O6WOSTGSL6PSY03CMJP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TWT2A6FTVSA5SNWN5U4SDQ2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2TU7BX3JEL300WMF6U0T0Q7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BVZ9NRQDHNOCYQUM6P1NUO2P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DP9EQB1V752DZVX7KIF01YD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G57KBIW2CAT1SU5O0RX5JS0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UNI9NR1RNZR07NSLSZMDOQQ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9WDYTPZ5K0L9GHLZ9UVG45EE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20B2TGVEK2YHOC4WPDO00UF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CZ4IF92KR71COU3GZ2YBHGF7" hidden="1">#REF!</definedName>
    <definedName name="BExUD0X8F8B66XNZNVMUIEKMJMU9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SL787C8E4HFQZ2NVLT35I2XV" hidden="1">#REF!</definedName>
    <definedName name="BExVSPOWFL5ZA5ENBZQYPN26368J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LWFUUW1RZDVRWLLPAK1R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U71U7CP087GP2V0X0U2PO4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BORUXCWDP3NZ0PAGTTDOHO2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EX6307BG0XS4GN945KT7X1I" hidden="1">#REF!</definedName>
    <definedName name="BExW4GPW71EBF8XPS2QGVQHBCDX3" hidden="1">#REF!</definedName>
    <definedName name="BExW4JKC5837JBPCOJV337ZVYYY3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HO0NI64WQ1E55WHZO07ABMU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BHOP0WGFHI2Y9AO4L440UVQ" hidden="1">#REF!</definedName>
    <definedName name="BExXOHSAD2NSHOLLMZ2JWA4I3I1R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6BNEK35OZZ2SSWL46RMKD0W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BNE4KTFSXKVSRF6WX039WPB" hidden="1">#REF!</definedName>
    <definedName name="BExXWFP5AYE7EHYTJWBZSQ8PQ0YX" hidden="1">#REF!</definedName>
    <definedName name="BExXWVFIBQT8OY1O41FRFPFGXQHK" hidden="1">#REF!</definedName>
    <definedName name="BExXWWXHBZHA9J3N8K47F84X0M0L" hidden="1">#REF!</definedName>
    <definedName name="BExXX74B1PL965TIL4ALJ4NYXJSM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Q6SFDA81L2QTGQVZUADJDJ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B3TTMI3A5928K3A4O1D6A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Y6R6BCYXVJJWRJFJU53U6G98P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769Y80GXTA5Z1MP14NGROIF" hidden="1">#REF!</definedName>
    <definedName name="BExZK7XBN3J41WN11EU90GFH2E1N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847WUWKRYTZWG9TCQZJS3OL" hidden="1">#REF!</definedName>
    <definedName name="BExZN90KQ4JYG1G36OCX79KPLAEN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9KR44JNB64VZOKF49LW2M3X" hidden="1">#REF!</definedName>
    <definedName name="BExZOBO9NYLGVJQ31LVQ9XS2ZT4N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1SK2ZSAOQEDYVKD2ZD01DTB" hidden="1">#REF!</definedName>
    <definedName name="BExZS2OY9JTSSP01ZQ6V2T2LO5R9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YDULCX65H9OZ9JHPBNKF3MI" hidden="1">#REF!</definedName>
    <definedName name="BExZV2QD5ZDK3AGDRULLA7JB46C3" hidden="1">#REF!</definedName>
    <definedName name="BExZVA83ZOS6POYYWRALKPOSPX7H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IFIUBNYEIHVYTDWRYBW1CBA" hidden="1">#REF!</definedName>
    <definedName name="BExZWKZ5N3RDXU8MZ8HQVYYD8O0F" hidden="1">#REF!</definedName>
    <definedName name="BExZWSMC9T48W74GFGQCIUJ8ZPP3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fbfdhfdhdfgh" hidden="1">{#N/A,#N/A,FALSE,"CCTV"}</definedName>
    <definedName name="BFDFB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FDFB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BG_2">#REF!</definedName>
    <definedName name="BG_Del" hidden="1">15</definedName>
    <definedName name="BG_Ins" hidden="1">4</definedName>
    <definedName name="BG_Mod" hidden="1">6</definedName>
    <definedName name="bgujyg" hidden="1">{#N/A,#N/A,TRUE,"MAP";#N/A,#N/A,TRUE,"STEPS";#N/A,#N/A,TRUE,"RULES"}</definedName>
    <definedName name="b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bıııı" hidden="1">{#N/A,#N/A,FALSE,"ihz. icmal";#N/A,#N/A,FALSE,"avans";#N/A,#N/A,FALSE,"mal_FF_icm";#N/A,#N/A,FALSE,"fat_ihz";#N/A,#N/A,FALSE,"söz_fiy_fark";#N/A,#N/A,FALSE,"kap2"}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lockedOutlet">#REF!</definedName>
    <definedName name="BLPH1" hidden="1">#REF!</definedName>
    <definedName name="BLPH2" hidden="1">#REF!</definedName>
    <definedName name="BM" hidden="1">{#N/A,#N/A,FALSE,"CCTV"}</definedName>
    <definedName name="BNE_MESSAGES_HIDDEN" hidden="1">#REF!</definedName>
    <definedName name="BO">#REF!</definedName>
    <definedName name="boaa">#REF!</definedName>
    <definedName name="boac">#REF!</definedName>
    <definedName name="bo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ob.bob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Body">#REF!</definedName>
    <definedName name="BOE_RES_ECO">#REF!</definedName>
    <definedName name="BOE_RESERVES">#REF!</definedName>
    <definedName name="BoltIndexB">#REF!</definedName>
    <definedName name="BoltUpB">#REF!</definedName>
    <definedName name="bom">#REF!</definedName>
    <definedName name="Bonnet">#REF!</definedName>
    <definedName name="boo">#REF!</definedName>
    <definedName name="BookPageNo">#REF!</definedName>
    <definedName name="BOQ">#REF!</definedName>
    <definedName name="BORD">#REF!</definedName>
    <definedName name="BORD1">#REF!</definedName>
    <definedName name="BORDER2">#REF!</definedName>
    <definedName name="BORDER3">#REF!</definedName>
    <definedName name="BOT">#REF!</definedName>
    <definedName name="bow">#REF!</definedName>
    <definedName name="boy">#REF!</definedName>
    <definedName name="bq">#REF!</definedName>
    <definedName name="branch_cable_list">#REF!</definedName>
    <definedName name="Brent">NA()</definedName>
    <definedName name="Brent_1">"$#ССЫЛ!.$E$26:$E$46"</definedName>
    <definedName name="BRIT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bsghs" hidden="1">{0,0}</definedName>
    <definedName name="BU">#REF!</definedName>
    <definedName name="BUfrac">#REF!</definedName>
    <definedName name="BUfractwo">#REF!</definedName>
    <definedName name="Buildings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BULK_GES">#REF!</definedName>
    <definedName name="BULLET0">#REF!</definedName>
    <definedName name="BULLET1">#REF!</definedName>
    <definedName name="BULLET6">#REF!</definedName>
    <definedName name="BULLET7">#REF!</definedName>
    <definedName name="BUmid">#REF!</definedName>
    <definedName name="BUmidfrac">#REF!</definedName>
    <definedName name="BUNDLE">#REF!</definedName>
    <definedName name="BUtwo">#REF!</definedName>
    <definedName name="buyer">#REF!</definedName>
    <definedName name="BVCBB">#N/A</definedName>
    <definedName name="BVCISUMMARY">#REF!</definedName>
    <definedName name="bwo">#REF!</definedName>
    <definedName name="B价" hidden="1">{"'现金流量表（全部投资）'!$B$4:$P$23"}</definedName>
    <definedName name="c_">#REF!</definedName>
    <definedName name="C_API">#REF!</definedName>
    <definedName name="C_API2">#REF!</definedName>
    <definedName name="C_Client">#REF!</definedName>
    <definedName name="C_CO2">#REF!</definedName>
    <definedName name="C_CurrentRev">#REF!</definedName>
    <definedName name="C_DataSheetNumber">#REF!</definedName>
    <definedName name="C_EquipManufacturer">#REF!</definedName>
    <definedName name="C_EquipmentNumber">#REF!</definedName>
    <definedName name="C_EquipmentService">#REF!</definedName>
    <definedName name="C_EstimateCase">#REF!</definedName>
    <definedName name="C_Faltenbalg150">#REF!</definedName>
    <definedName name="C_Faltenbalg600">#REF!</definedName>
    <definedName name="c_ID" hidden="1">#REF!</definedName>
    <definedName name="C_JobNumber">#REF!</definedName>
    <definedName name="C_LOSS">#REF!</definedName>
    <definedName name="C_MRNumber">#REF!</definedName>
    <definedName name="c_NAME" hidden="1">#REF!</definedName>
    <definedName name="C_PageNo_01">#REF!</definedName>
    <definedName name="C_PageNo_02">#REF!</definedName>
    <definedName name="C_PageNo_03">#REF!</definedName>
    <definedName name="C_PageNo_04">#REF!</definedName>
    <definedName name="C_PageNo_05">#REF!</definedName>
    <definedName name="C_PageNo_06">#REF!</definedName>
    <definedName name="C_PageNo_07">#REF!</definedName>
    <definedName name="C_PageNo_08">#REF!</definedName>
    <definedName name="C_PageNo_09">#REF!</definedName>
    <definedName name="C_PageNo_10">#REF!</definedName>
    <definedName name="C_PageNo_11">#REF!</definedName>
    <definedName name="C_PageNo_12">#REF!</definedName>
    <definedName name="C_PageNo_13">#REF!</definedName>
    <definedName name="C_PageNo_Total">#REF!</definedName>
    <definedName name="C_Plant">#REF!</definedName>
    <definedName name="c_PROD_NAME" hidden="1">#REF!</definedName>
    <definedName name="C_ProjectLocation">#REF!</definedName>
    <definedName name="C_ProjectTitle">#REF!</definedName>
    <definedName name="C_Rating150">#REF!</definedName>
    <definedName name="C_Rating1500">#REF!</definedName>
    <definedName name="C_Rating300">#REF!</definedName>
    <definedName name="C_Rating600">#REF!</definedName>
    <definedName name="C_Rating900">#REF!</definedName>
    <definedName name="C_Rev_01">#REF!</definedName>
    <definedName name="C_Rev_02">#REF!</definedName>
    <definedName name="C_Rev_03">#REF!</definedName>
    <definedName name="C_Rev_04">#REF!</definedName>
    <definedName name="C_Rev_05">#REF!</definedName>
    <definedName name="C_SerialNo">#REF!</definedName>
    <definedName name="C_thermischSV">#REF!</definedName>
    <definedName name="C_UN_FL">#REF!</definedName>
    <definedName name="C_WELLS">#REF!</definedName>
    <definedName name="CA">#REF!</definedName>
    <definedName name="Cable_Database">#REF!</definedName>
    <definedName name="cable_list">#REF!</definedName>
    <definedName name="CABLE2">#REF!</definedName>
    <definedName name="CableSchedule">#REF!</definedName>
    <definedName name="CAC">#REF!</definedName>
    <definedName name="CAD">#REF!</definedName>
    <definedName name="CALCostCalc">#REF!</definedName>
    <definedName name="CALCostPhasing">#REF!</definedName>
    <definedName name="CALGasEco">#REF!</definedName>
    <definedName name="CALPriceTables">#REF!</definedName>
    <definedName name="CAP">"$#ССЫЛ!.$E$1150:$E$1170"</definedName>
    <definedName name="CAP_1">"$#ССЫЛ!.$E$1150:$E$1170"</definedName>
    <definedName name="CAP_2">"$#ССЫЛ!.$E$1172:$E$1191"</definedName>
    <definedName name="CAP_2_1">"$#ССЫЛ!.$E$1172:$E$1191"</definedName>
    <definedName name="CAP_3">"$#ССЫЛ!.$E$1171:$E$1191"</definedName>
    <definedName name="CAP_3_1">"$#ССЫЛ!.$E$1171:$E$1191"</definedName>
    <definedName name="CAP_4">"$#ССЫЛ!.$E$940:$E$960"</definedName>
    <definedName name="CAP_4_1">"$#ССЫЛ!.$E$940:$E$960"</definedName>
    <definedName name="CAP_6">"$#ССЫЛ!.$E$1192:$E$1212"</definedName>
    <definedName name="CAP_6_1">"$#ССЫЛ!.$E$1192:$E$1212"</definedName>
    <definedName name="CAP_7">"$#ССЫЛ!.$E$1024:$E$1044"</definedName>
    <definedName name="CAP_7_1">"$#ССЫЛ!.$E$1024:$E$1044"</definedName>
    <definedName name="CAP_Adamow">NA()</definedName>
    <definedName name="CAP_Adamow_1">"$#ССЫЛ!.$E$1045:$E$1065"</definedName>
    <definedName name="CAP_Butinge">NA()</definedName>
    <definedName name="CAP_Butinge_1">"$#ССЫЛ!.$E$1087:$E$1107"</definedName>
    <definedName name="CAP_FA_Export">NA()</definedName>
    <definedName name="CAP_FA_Export_1">"$#ССЫЛ!.$E$1234:$E$1254"</definedName>
    <definedName name="CAP_Hungary">NA()</definedName>
    <definedName name="CAP_Hungary_1">"$#ССЫЛ!.$E$1066:$E$1086"</definedName>
    <definedName name="CAP_Lithuania">NA()</definedName>
    <definedName name="CAP_Lithuania_1">"$#ССЫЛ!.$E$1108:$E$1128"</definedName>
    <definedName name="CAP_Murmansk">NA()</definedName>
    <definedName name="CAP_Murmansk_1">"$#ССЫЛ!.$E$1150:$E$1170"</definedName>
    <definedName name="CAP_Nahodka_Daqin">NA()</definedName>
    <definedName name="CAP_Nahodka_Daqin_1">"$#ССЫЛ!.$E$1172:$E$1191"</definedName>
    <definedName name="CAP_Nakhodka">NA()</definedName>
    <definedName name="CAP_Nakhodka_1">"$#ССЫЛ!.$E$1171:$E$1191"</definedName>
    <definedName name="CAP_NOVO">NA()</definedName>
    <definedName name="CAP_NOVO_1">"$#ССЫЛ!.$E$940:$E$960"</definedName>
    <definedName name="CAP_Odessa">NA()</definedName>
    <definedName name="CAP_Odessa_1">"$#ССЫЛ!.$E$1003:$E$1023"</definedName>
    <definedName name="CAP_Other">NA()</definedName>
    <definedName name="CAP_Other_1">"$#ССЫЛ!.$E$1192:$E$1212"</definedName>
    <definedName name="CAP_Primorsk">NA()</definedName>
    <definedName name="CAP_Primorsk_1">"$#ССЫЛ!.$E$1024:$E$1044"</definedName>
    <definedName name="CAP_Tranzit_FA">NA()</definedName>
    <definedName name="CAP_Tranzit_FA_1">"$#ССЫЛ!.$E$1213:$E$1233"</definedName>
    <definedName name="CAP_Tuapse">NA()</definedName>
    <definedName name="CAP_Tuapse_1">"$#ССЫЛ!.$E$961:$E$981"</definedName>
    <definedName name="Cap_Type">#REF!</definedName>
    <definedName name="CAP_Ventspils">NA()</definedName>
    <definedName name="CAP_Ventspils_1">"$#ССЫЛ!.$E$982:$E$1002"</definedName>
    <definedName name="CAP_Yuzhny">NA()</definedName>
    <definedName name="CAP_Yuzhny_1">"$#ССЫЛ!.$E$1129:$E$1149"</definedName>
    <definedName name="CAP5_1">"$#ССЫЛ!.$E$1003:$E$1023"</definedName>
    <definedName name="Capacity">#REF!</definedName>
    <definedName name="capex_mult">#REF!</definedName>
    <definedName name="CapExp" hidden="1">#REF!</definedName>
    <definedName name="CapGas">#REF!</definedName>
    <definedName name="CapLiq">#REF!</definedName>
    <definedName name="carp_form_phl_nj">#REF!</definedName>
    <definedName name="carp_phl_nj">#REF!</definedName>
    <definedName name="Case">#REF!</definedName>
    <definedName name="case1_liq">#REF!</definedName>
    <definedName name="case2_liq">#REF!</definedName>
    <definedName name="case3_liq">#REF!</definedName>
    <definedName name="case4_liq">#REF!</definedName>
    <definedName name="Cases">NA()</definedName>
    <definedName name="Cases_1">"$#ССЫЛ!.$B$2:$B$27"</definedName>
    <definedName name="Cash_Flow">#REF!</definedName>
    <definedName name="cashfl" hidden="1">{#N/A,#N/A,TRUE,"Cover";#N/A,#N/A,TRUE,"Conts";#N/A,#N/A,TRUE,"VOS";#N/A,#N/A,TRUE,"Warrington";#N/A,#N/A,TRUE,"Widnes"}</definedName>
    <definedName name="casing_area">"$#ССЫЛ!.$C$38"</definedName>
    <definedName name="casing_area_1">NA()</definedName>
    <definedName name="Casing_ID">"$#ССЫЛ!.$C$15"</definedName>
    <definedName name="Casing_ID_1">NA()</definedName>
    <definedName name="Casing_OD">"$#ССЫЛ!.$C$15"</definedName>
    <definedName name="Casing_OD_1">NA()</definedName>
    <definedName name="CAT">#REF!</definedName>
    <definedName name="catalyst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ZZO">#REF!</definedName>
    <definedName name="CBWorkbookPriority" hidden="1">-1411612577</definedName>
    <definedName name="cc">#REF!</definedName>
    <definedName name="ccc" hidden="1">{#N/A,#N/A,FALSE,"activity"}</definedName>
    <definedName name="CCC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ccc_e">#REF!</definedName>
    <definedName name="cccc" hidden="1">{#N/A,#N/A,FALSE,"activity"}</definedName>
    <definedName name="ccccc" hidden="1">{#N/A,#N/A,FALSE,"ZAP_FEB.XLS "}</definedName>
    <definedName name="ccdssc" hidden="1">{"'Sheet1'!$L$16"}</definedName>
    <definedName name="CC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la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CCR" hidden="1">{#N/A,#N/A,TRUE,"Cover";#N/A,#N/A,TRUE,"Conts";#N/A,#N/A,TRUE,"VOS";#N/A,#N/A,TRUE,"Warrington";#N/A,#N/A,TRUE,"Widnes"}</definedName>
    <definedName name="CD">#REF!</definedName>
    <definedName name="CD_GAS_PRICE_INDEX">#REF!</definedName>
    <definedName name="CD_OIL_PRICE_INDEX">#REF!</definedName>
    <definedName name="CDBotArea">#REF!</definedName>
    <definedName name="CDClearance">#REF!</definedName>
    <definedName name="CDDetPicRelief">#REF!</definedName>
    <definedName name="CDExitWidth">#REF!</definedName>
    <definedName name="CDInbetweenDC">#REF!</definedName>
    <definedName name="CDIWHeight">#REF!</definedName>
    <definedName name="CDMiddleDC">#REF!</definedName>
    <definedName name="CDNoPasses">#REF!</definedName>
    <definedName name="CDNotches">#REF!</definedName>
    <definedName name="CDPanDepth">#REF!</definedName>
    <definedName name="CDRelief">#REF!</definedName>
    <definedName name="CDSideDC">#REF!</definedName>
    <definedName name="CDtnj">#REF!</definedName>
    <definedName name="CDTopArea">#REF!</definedName>
    <definedName name="CDType">#REF!</definedName>
    <definedName name="cdu" hidden="1">{#N/A,#N/A,FALSE,"COVER.XLS";#N/A,#N/A,FALSE,"RACT1.XLS";#N/A,#N/A,FALSE,"RACT2.XLS";#N/A,#N/A,FALSE,"ECCMP";#N/A,#N/A,FALSE,"WELDER.XLS"}</definedName>
    <definedName name="cdu_1" hidden="1">{#N/A,#N/A,FALSE,"COVER.XLS";#N/A,#N/A,FALSE,"RACT1.XLS";#N/A,#N/A,FALSE,"RACT2.XLS";#N/A,#N/A,FALSE,"ECCMP";#N/A,#N/A,FALSE,"WELDER.XLS"}</definedName>
    <definedName name="cdvv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CDWeirHeight">#REF!</definedName>
    <definedName name="CellExportAllow">"Me!Export"</definedName>
    <definedName name="CellExportMacro">"Me!Export"</definedName>
    <definedName name="cf" hidden="1">{#N/A,#N/A,FALSE,"Aging Summary";#N/A,#N/A,FALSE,"Ratio Analysis";#N/A,#N/A,FALSE,"Test 120 Day Accts";#N/A,#N/A,FALSE,"Tickmarks"}</definedName>
    <definedName name="CF_EBITDA">NA()</definedName>
    <definedName name="CF_EBITDA_1">"$#ССЫЛ!.$L$3"</definedName>
    <definedName name="CFABUDHABI1">#REF!</definedName>
    <definedName name="CFABUDHABI2">#REF!</definedName>
    <definedName name="CFABUDHABI3">#REF!</definedName>
    <definedName name="CFABUDHABI4">#REF!</definedName>
    <definedName name="cfhg" hidden="1">{"'Sheet1'!$A$1:$G$96","'Sheet1'!$A$1:$H$96"}</definedName>
    <definedName name="cgn" hidden="1">#REF!</definedName>
    <definedName name="ch_pd_failure_action_001">#REF!</definedName>
    <definedName name="ch_pd_fluid_phase_001">#REF!</definedName>
    <definedName name="ch_pd_seat_leak_001">#REF!</definedName>
    <definedName name="ch_spec_udf_c31_001">#REF!</definedName>
    <definedName name="ch_spec_udf_c33_001">#REF!</definedName>
    <definedName name="ch_spec_udf_c34_001">#REF!</definedName>
    <definedName name="ch_spec_udf_c35_001">#REF!</definedName>
    <definedName name="ch_spec_udf_c36_001">#REF!</definedName>
    <definedName name="ch_spec_udf_c39_001">#REF!</definedName>
    <definedName name="ch_spec_udf_c40_001">#REF!</definedName>
    <definedName name="ch_spec_udf_c54_001">#REF!</definedName>
    <definedName name="ch_spec_udf_c55_001">#REF!</definedName>
    <definedName name="ch_spec_udf_c56_001">#REF!</definedName>
    <definedName name="ch_spec_udf_c57_001">#REF!</definedName>
    <definedName name="ch_spec_udf_c58_001">#REF!</definedName>
    <definedName name="ch_spec_udf_c64_001">#REF!</definedName>
    <definedName name="ch_spec_udf_c66_001">#REF!</definedName>
    <definedName name="ch_spec_udf_c67_001">#REF!</definedName>
    <definedName name="ch_spec_udf_c69_001">#REF!</definedName>
    <definedName name="ch_spec_udf_c70_001">#REF!</definedName>
    <definedName name="ch_spec_udf_c73_001">#REF!</definedName>
    <definedName name="ch_spec_udf_c75_001">#REF!</definedName>
    <definedName name="ch_spec_udf_c77_001">#REF!</definedName>
    <definedName name="ch_spec_udf_c79_001">#REF!</definedName>
    <definedName name="ch_spec_udf_c80_001">#REF!</definedName>
    <definedName name="ch_spec_udf_c82_001">#REF!</definedName>
    <definedName name="ch_spec_udf_c83_001">#REF!</definedName>
    <definedName name="ch_spec_udf_c88_001">#REF!</definedName>
    <definedName name="ch_spec_udf_c89_001">#REF!</definedName>
    <definedName name="ch_spec_udf_c91_001">#REF!</definedName>
    <definedName name="ch_spec_udf_c94_001">#REF!</definedName>
    <definedName name="ch_spec_udf_c95_001">#REF!</definedName>
    <definedName name="ch_spec_udf_c97_001">#REF!</definedName>
    <definedName name="ch_spec_udf_c98_001">#REF!</definedName>
    <definedName name="Charge_No">#REF!</definedName>
    <definedName name="ChartCaptions">#REF!</definedName>
    <definedName name="ChartingArea">#REF!,#REF!</definedName>
    <definedName name="ChartingLabels">#REF!</definedName>
    <definedName name="check" hidden="1">{#N/A,#N/A,TRUE,"Basic";#N/A,#N/A,TRUE,"EXT-TABLE";#N/A,#N/A,TRUE,"STEEL";#N/A,#N/A,TRUE,"INT-Table";#N/A,#N/A,TRUE,"STEEL";#N/A,#N/A,TRUE,"Door"}</definedName>
    <definedName name="Checkbox3">"Kontrollkästchen 7"</definedName>
    <definedName name="Checkedby">#REF!</definedName>
    <definedName name="CheckedbyDate">#REF!</definedName>
    <definedName name="chemical" hidden="1">{#N/A,#N/A,FALSE,"CCTV"}</definedName>
    <definedName name="chemical_1" hidden="1">{#N/A,#N/A,FALSE,"CCTV"}</definedName>
    <definedName name="CHF">#REF!</definedName>
    <definedName name="chk_apend">#REF!</definedName>
    <definedName name="chk_insert">#REF!</definedName>
    <definedName name="chl" hidden="1">{#N/A,#N/A,TRUE,"Basic";#N/A,#N/A,TRUE,"EXT-TABLE";#N/A,#N/A,TRUE,"STEEL";#N/A,#N/A,TRUE,"INT-Table";#N/A,#N/A,TRUE,"STEEL";#N/A,#N/A,TRUE,"Door"}</definedName>
    <definedName name="cho" hidden="1">{"LKD",#N/A,FALSE,"표지"}</definedName>
    <definedName name="CIF">#REF!</definedName>
    <definedName name="CIPIPEL">#REF!</definedName>
    <definedName name="CIQWBGuid" hidden="1">"b60fb8e2-e13c-4c38-8295-01117373326e"</definedName>
    <definedName name="CIVI">#REF!</definedName>
    <definedName name="civilli">#REF!</definedName>
    <definedName name="Cjkm" hidden="1">{"print95",#N/A,FALSE,"1995E.XLS";"print96",#N/A,FALSE,"1996E.XLS"}</definedName>
    <definedName name="Class_A1">#REF!</definedName>
    <definedName name="class1">#REF!</definedName>
    <definedName name="class2">#REF!</definedName>
    <definedName name="ClassList">#REF!</definedName>
    <definedName name="CLEAR">#REF!</definedName>
    <definedName name="CLEAR_AREA">#REF!</definedName>
    <definedName name="clear_save">#REF!</definedName>
    <definedName name="ClearForm">(#REF!,#REF!,#REF!,#REF!,#REF!,#REF!,#REF!,#REF!)</definedName>
    <definedName name="ClearForm_1">NA()</definedName>
    <definedName name="ClearForm1">"$#ССЫЛ!.$#ССЫЛ!$#ССЫЛ!:$#ССЫЛ!$#ССЫЛ!"</definedName>
    <definedName name="ClearForm1_1">NA()</definedName>
    <definedName name="Client">#REF!</definedName>
    <definedName name="client_doc_no">#REF!</definedName>
    <definedName name="client_proj_code">#REF!</definedName>
    <definedName name="client_proj_no">#REF!</definedName>
    <definedName name="ClientDocumentNumber">#REF!</definedName>
    <definedName name="CLIENTE">#REF!</definedName>
    <definedName name="CloseBalans_07GAAPСальдоКон" hidden="1">#REF!</definedName>
    <definedName name="CM">#REF!</definedName>
    <definedName name="CND">#REF!</definedName>
    <definedName name="CNY">#REF!</definedName>
    <definedName name="CNY_10.22">#REF!</definedName>
    <definedName name="CNY_11.22">#REF!</definedName>
    <definedName name="CNY_12.22">#REF!</definedName>
    <definedName name="CNY_23">#REF!</definedName>
    <definedName name="CNY_24">#REF!</definedName>
    <definedName name="CNY_25">#REF!</definedName>
    <definedName name="CNY_26">#REF!</definedName>
    <definedName name="CNY_27">#REF!</definedName>
    <definedName name="CNY_28">#REF!</definedName>
    <definedName name="Co">#REF!</definedName>
    <definedName name="CO_2_2">#REF!</definedName>
    <definedName name="CO2_2">#REF!</definedName>
    <definedName name="COA">#REF!</definedName>
    <definedName name="Code" hidden="1">#REF!</definedName>
    <definedName name="Code_St_Req">#REF!</definedName>
    <definedName name="CodeDir">#REF!</definedName>
    <definedName name="Coef1">#REF!</definedName>
    <definedName name="Coef2">#REF!</definedName>
    <definedName name="Coef3">#REF!</definedName>
    <definedName name="Coeff2a">#REF!</definedName>
    <definedName name="Coeff2b">#REF!</definedName>
    <definedName name="Coeff2c">#REF!</definedName>
    <definedName name="Coeff2d">#REF!</definedName>
    <definedName name="Coeff2e">#REF!</definedName>
    <definedName name="Coeff2f">#REF!</definedName>
    <definedName name="col">#REF!</definedName>
    <definedName name="cold_fouling">#REF!</definedName>
    <definedName name="cold_in">#REF!</definedName>
    <definedName name="cold_name">#REF!</definedName>
    <definedName name="cold_out">#REF!</definedName>
    <definedName name="colLevel">#REF!</definedName>
    <definedName name="colSheet">#REF!</definedName>
    <definedName name="colText">#REF!</definedName>
    <definedName name="ColumnLengthUOM">#REF!</definedName>
    <definedName name="ColumnPicture">#REF!</definedName>
    <definedName name="COM">#REF!</definedName>
    <definedName name="coma" hidden="1">#REF!</definedName>
    <definedName name="comments1">#REF!</definedName>
    <definedName name="comments2">#REF!</definedName>
    <definedName name="comments3">#REF!</definedName>
    <definedName name="comments4">#REF!</definedName>
    <definedName name="COMMESSA">#REF!</definedName>
    <definedName name="COMMON">#REF!</definedName>
    <definedName name="COMMSPARE1">#REF!</definedName>
    <definedName name="COMMSPARE2">#REF!</definedName>
    <definedName name="COMMSPARE3">#REF!</definedName>
    <definedName name="COMMSPARE4">#REF!</definedName>
    <definedName name="COMP_COORD">#REF!</definedName>
    <definedName name="comp1">#REF!</definedName>
    <definedName name="comp2">#REF!</definedName>
    <definedName name="comp3">#REF!</definedName>
    <definedName name="comp4">#REF!</definedName>
    <definedName name="comp5">#REF!</definedName>
    <definedName name="COMPARE" hidden="1">{"Table A,pg 1",#N/A,FALSE,"Table A-Prov GUR";"Table A,pg 2",#N/A,FALSE,"Table A-Prov GUR"}</definedName>
    <definedName name="Completed">#REF!</definedName>
    <definedName name="COMPLEX">#REF!</definedName>
    <definedName name="ComponentTypes">#REF!</definedName>
    <definedName name="Compr">#REF!</definedName>
    <definedName name="Compr1">#REF!</definedName>
    <definedName name="Compr2">#REF!</definedName>
    <definedName name="Compr3">#REF!</definedName>
    <definedName name="COMPS">#REF!</definedName>
    <definedName name="computer_fee">"computer.xls!$e$7:$H:32"</definedName>
    <definedName name="CON" hidden="1">{#N/A,#N/A,TRUE,"Cover";#N/A,#N/A,TRUE,"Conts";#N/A,#N/A,TRUE,"VOS";#N/A,#N/A,TRUE,"Warrington";#N/A,#N/A,TRUE,"Widnes"}</definedName>
    <definedName name="CON_EQP_COS">#REF!</definedName>
    <definedName name="CON_EQP_COST">#REF!</definedName>
    <definedName name="CON_RES">#REF!</definedName>
    <definedName name="CON_RES2">#REF!</definedName>
    <definedName name="CONCOURSE" hidden="1">{#N/A,#N/A,TRUE,"Cover";#N/A,#N/A,TRUE,"Conts";#N/A,#N/A,TRUE,"VOS";#N/A,#N/A,TRUE,"Warrington";#N/A,#N/A,TRUE,"Widnes"}</definedName>
    <definedName name="Cond_boe">#REF!</definedName>
    <definedName name="Condensate_Excise">NA()</definedName>
    <definedName name="Condensate_Excise_1">"$#ССЫЛ!.$E$477:$E$497"</definedName>
    <definedName name="CondenserFailure">#REF!</definedName>
    <definedName name="conditions">#REF!</definedName>
    <definedName name="conditionsEW">#REF!</definedName>
    <definedName name="CONEQP_COST">#REF!</definedName>
    <definedName name="Config1">#REF!</definedName>
    <definedName name="Config2">#REF!</definedName>
    <definedName name="Config3">#REF!</definedName>
    <definedName name="confirm_it">#REF!</definedName>
    <definedName name="conflict">#REF!</definedName>
    <definedName name="conflict1">#REF!</definedName>
    <definedName name="conflict2">#REF!</definedName>
    <definedName name="CONOCO_IRR">#REF!</definedName>
    <definedName name="CONOCO_NPC">#REF!</definedName>
    <definedName name="CONOCO_NPV">#REF!</definedName>
    <definedName name="Cons_temp" hidden="1">{"Supporting Schedules",#N/A,FALSE,"Results"}</definedName>
    <definedName name="consignee">#REF!</definedName>
    <definedName name="ConsPercent">#REF!</definedName>
    <definedName name="CONST_EQ">#REF!</definedName>
    <definedName name="CONSTR._EQ._COST">#REF!</definedName>
    <definedName name="CONSTR._EQ._SCH.">#REF!</definedName>
    <definedName name="CONSTRU">#REF!</definedName>
    <definedName name="construction">#REF!</definedName>
    <definedName name="CONSUM">#REF!+#REF!+#REF!</definedName>
    <definedName name="CONT">#REF!</definedName>
    <definedName name="cont1">#REF!</definedName>
    <definedName name="cont2">#REF!</definedName>
    <definedName name="cont3">#REF!</definedName>
    <definedName name="cont4">#REF!</definedName>
    <definedName name="cont5">#REF!</definedName>
    <definedName name="CONT55">#REF!</definedName>
    <definedName name="Contingency">#REF!</definedName>
    <definedName name="contr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contract">#REF!</definedName>
    <definedName name="ContractorJobNo">#REF!</definedName>
    <definedName name="ControlValveFailure">#REF!</definedName>
    <definedName name="ConventionalSection">#REF!</definedName>
    <definedName name="CoolingWaterFailure">#REF!</definedName>
    <definedName name="cop" hidden="1">{"Table A,pg 1",#N/A,FALSE,"Table A-Prov GUR";"Table A,pg 2",#N/A,FALSE,"Table A-Prov GUR"}</definedName>
    <definedName name="COPIE">#REF!</definedName>
    <definedName name="COPIE2">#REF!</definedName>
    <definedName name="COPY_NUMBER">#REF!</definedName>
    <definedName name="COPY_TO">#REF!</definedName>
    <definedName name="Corrosion_Allowance">#REF!</definedName>
    <definedName name="cost">#REF!</definedName>
    <definedName name="COST_FACT">#REF!</definedName>
    <definedName name="COST_PHASING">#REF!</definedName>
    <definedName name="COST2" hidden="1">{#N/A,#N/A,TRUE,"Basic";#N/A,#N/A,TRUE,"EXT-TABLE";#N/A,#N/A,TRUE,"STEEL";#N/A,#N/A,TRUE,"INT-Table";#N/A,#N/A,TRUE,"STEEL";#N/A,#N/A,TRUE,"Door"}</definedName>
    <definedName name="COST2_1" hidden="1">{#N/A,#N/A,TRUE,"Basic";#N/A,#N/A,TRUE,"EXT-TABLE";#N/A,#N/A,TRUE,"STEEL";#N/A,#N/A,TRUE,"INT-Table";#N/A,#N/A,TRUE,"STEEL";#N/A,#N/A,TRUE,"Door"}</definedName>
    <definedName name="costeqp1" hidden="1">#REF!</definedName>
    <definedName name="costexp" hidden="1">#REF!</definedName>
    <definedName name="CostExpatriate">#REF!</definedName>
    <definedName name="costlsum" hidden="1">#REF!</definedName>
    <definedName name="CostManagement">#REF!</definedName>
    <definedName name="CostOperating">#REF!</definedName>
    <definedName name="coststp" hidden="1">#REF!</definedName>
    <definedName name="CostSummaryRevision">#REF!</definedName>
    <definedName name="costtot" hidden="1">#REF!</definedName>
    <definedName name="Cotwo">#REF!</definedName>
    <definedName name="course">#REF!</definedName>
    <definedName name="COVER">#REF!</definedName>
    <definedName name="COVER_1">#REF!</definedName>
    <definedName name="COVER_PAG">#REF!</definedName>
    <definedName name="cover1">#N/A</definedName>
    <definedName name="CP" hidden="1">#REF!</definedName>
    <definedName name="CPC_Tariff_Inflation">NA()</definedName>
    <definedName name="CPC_Tariff_Inflation_1">"$#ССЫЛ!.$E$257:$E$277"</definedName>
    <definedName name="CPCO">#REF!</definedName>
    <definedName name="CPCO1">#REF!</definedName>
    <definedName name="cpf" hidden="1">{#N/A,#N/A,TRUE,"Basic";#N/A,#N/A,TRUE,"EXT-TABLE";#N/A,#N/A,TRUE,"STEEL";#N/A,#N/A,TRUE,"INT-Table";#N/A,#N/A,TRUE,"STEEL";#N/A,#N/A,TRUE,"Door"}</definedName>
    <definedName name="CPMH">#REF!</definedName>
    <definedName name="CP새단가">#REF!</definedName>
    <definedName name="CQ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Q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CR">#REF!</definedName>
    <definedName name="Crd_09.97" hidden="1">{#N/A,#N/A,FALSE,"ZAP_FEB.XLS "}</definedName>
    <definedName name="CreateBy_1">#REF!</definedName>
    <definedName name="CreateRangeName" localSheetId="0">#REF!</definedName>
    <definedName name="CreateRangeName" localSheetId="2">#REF!</definedName>
    <definedName name="CreateRangeName" localSheetId="1">#REF!</definedName>
    <definedName name="CreateRangeName">#REF!</definedName>
    <definedName name="credits">#REF!,#REF!,#REF!,#REF!,#REF!,#REF!,#REF!,#REF!,#REF!,#REF!,#REF!,#REF!,#REF!,#REF!,#REF!,#REF!,#REF!,#REF!,#REF!,#REF!,#REF!</definedName>
    <definedName name="Criteri_MI">#REF!</definedName>
    <definedName name="CRITINST">#REF!</definedName>
    <definedName name="CRITPURC">#REF!</definedName>
    <definedName name="CrossSectionPic2Pass">#REF!</definedName>
    <definedName name="CrossSectionPic4Pass">#REF!</definedName>
    <definedName name="CrossSectionPicture">#REF!</definedName>
    <definedName name="CrossSectionPictureCenter">#REF!</definedName>
    <definedName name="CrossSectionPictureLeft">#REF!</definedName>
    <definedName name="CrossSectionPictureRight">#REF!</definedName>
    <definedName name="CrossSectionPictureRigthCaption">#REF!</definedName>
    <definedName name="CrossSectionPictureSpray">#REF!</definedName>
    <definedName name="CrRsk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crude_bbl">#REF!</definedName>
    <definedName name="Crystal_1_1_WEBI_DataGrid" hidden="1">#REF!</definedName>
    <definedName name="Crystal_1_1_WEBI_HHeading" hidden="1">#REF!</definedName>
    <definedName name="Crystal_1_1_WEBI_Table" hidden="1">#REF!</definedName>
    <definedName name="Crystal_2_1_WEBI_DataGrid" hidden="1">#REF!</definedName>
    <definedName name="Crystal_2_1_WEBI_HHeading" hidden="1">#REF!</definedName>
    <definedName name="Crystal_2_1_WEBI_Table" hidden="1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M">#REF!</definedName>
    <definedName name="CS_STD">#REF!</definedName>
    <definedName name="CS_XS">#REF!</definedName>
    <definedName name="CS_XXS">#REF!</definedName>
    <definedName name="cshCalculation" hidden="1">1</definedName>
    <definedName name="cshClearRanges" hidden="1">TRUE</definedName>
    <definedName name="cshCondition1Option" hidden="1">"Temperature"</definedName>
    <definedName name="cshCondition1Unit" hidden="1">"C"</definedName>
    <definedName name="cshCondition1Value" hidden="1">1700</definedName>
    <definedName name="cshCondition2Option" hidden="1">"Pressure"</definedName>
    <definedName name="cshCondition2Unit" hidden="1">"atm"</definedName>
    <definedName name="cshCondition2Value" hidden="1">1</definedName>
    <definedName name="cshConditions" hidden="1">2</definedName>
    <definedName name="cshConstituent10AmountUnit" hidden="1">"kg/h"</definedName>
    <definedName name="cshConstituent10Constituent" hidden="1">"MnO"</definedName>
    <definedName name="cshConstituent10Phase" hidden="1">"MnO"</definedName>
    <definedName name="cshConstituent10Stream" hidden="1">"Calcine"</definedName>
    <definedName name="cshConstituent11AmountUnit" hidden="1">"kg/h"</definedName>
    <definedName name="cshConstituent11Constituent" hidden="1">"Co3O4"</definedName>
    <definedName name="cshConstituent11Phase" hidden="1">"Co3O4"</definedName>
    <definedName name="cshConstituent11Stream" hidden="1">"Calcine"</definedName>
    <definedName name="cshConstituent12AmountUnit" hidden="1">"kg/h"</definedName>
    <definedName name="cshConstituent12Constituent" hidden="1">"C"</definedName>
    <definedName name="cshConstituent12Phase" hidden="1">"C"</definedName>
    <definedName name="cshConstituent12Stream" hidden="1">"Reductant"</definedName>
    <definedName name="cshConstituent13AmountUnit" hidden="1">"kg/h"</definedName>
    <definedName name="cshConstituent13Constituent" hidden="1">"C"</definedName>
    <definedName name="cshConstituent13Phase" hidden="1">"C"</definedName>
    <definedName name="cshConstituent13Stream" hidden="1">"Reductant"</definedName>
    <definedName name="cshConstituent1AmountUnit" hidden="1">"kg/h"</definedName>
    <definedName name="cshConstituent1Constituent" hidden="1">"Cr2O3"</definedName>
    <definedName name="cshConstituent1Phase" hidden="1">"Cr2O3"</definedName>
    <definedName name="cshConstituent1Stream" hidden="1">"Calcine"</definedName>
    <definedName name="cshConstituent2AmountUnit" hidden="1">"kg/h"</definedName>
    <definedName name="cshConstituent2Constituent" hidden="1">"FeO"</definedName>
    <definedName name="cshConstituent2Phase" hidden="1">"FeO"</definedName>
    <definedName name="cshConstituent2Stream" hidden="1">"Calcine"</definedName>
    <definedName name="cshConstituent3AmountUnit" hidden="1">"kg/h"</definedName>
    <definedName name="cshConstituent3Constituent" hidden="1">"Al2O3"</definedName>
    <definedName name="cshConstituent3Phase" hidden="1">"Al2O3"</definedName>
    <definedName name="cshConstituent3Stream" hidden="1">"Calcine"</definedName>
    <definedName name="cshConstituent4AmountUnit" hidden="1">"kg/h"</definedName>
    <definedName name="cshConstituent4Constituent" hidden="1">"CaO"</definedName>
    <definedName name="cshConstituent4Phase" hidden="1">"CaO"</definedName>
    <definedName name="cshConstituent4Stream" hidden="1">"Calcine"</definedName>
    <definedName name="cshConstituent5AmountUnit" hidden="1">"kg/h"</definedName>
    <definedName name="cshConstituent5Constituent" hidden="1">"MgO"</definedName>
    <definedName name="cshConstituent5Phase" hidden="1">"MgO"</definedName>
    <definedName name="cshConstituent5Stream" hidden="1">"Calcine"</definedName>
    <definedName name="cshConstituent6AmountUnit" hidden="1">"kg/h"</definedName>
    <definedName name="cshConstituent6Constituent" hidden="1">"O2Si&lt;QUARTZ&gt;"</definedName>
    <definedName name="cshConstituent6Phase" hidden="1">"O2Si&lt;QUARTZ&gt;"</definedName>
    <definedName name="cshConstituent6Stream" hidden="1">"Calcine"</definedName>
    <definedName name="cshConstituent7AmountUnit" hidden="1">"kg/h"</definedName>
    <definedName name="cshConstituent7Constituent" hidden="1">"MnO"</definedName>
    <definedName name="cshConstituent7Phase" hidden="1">"MnO"</definedName>
    <definedName name="cshConstituent7Stream" hidden="1">"Calcine"</definedName>
    <definedName name="cshConstituent8AmountUnit" hidden="1">"kg/h"</definedName>
    <definedName name="cshConstituent8Constituent" hidden="1">"C"</definedName>
    <definedName name="cshConstituent8Phase" hidden="1">"C"</definedName>
    <definedName name="cshConstituent8Stream" hidden="1">"Reductant"</definedName>
    <definedName name="cshConstituent9AmountUnit" hidden="1">"kg/h"</definedName>
    <definedName name="cshConstituent9Constituent" hidden="1">"Cr2O3"</definedName>
    <definedName name="cshConstituent9Phase" hidden="1">"Cr2O3"</definedName>
    <definedName name="cshConstituent9Stream" hidden="1">"Calcine"</definedName>
    <definedName name="cshDataFile" hidden="1">"C:\Documents and Settings\LErasmus\My Documents\01 Chrome\01 Value Model\FeCr.DAT"</definedName>
    <definedName name="cshListFile" hidden="1">"C:\Documents and Settings\lerasmus\My Documents\01 Chrome\02 VIU\01 Value In Use\01 FY Planner\Sim1.res"</definedName>
    <definedName name="cshNumConditions" hidden="1">2</definedName>
    <definedName name="cshNumConstituents" hidden="1">8</definedName>
    <definedName name="cshNumResults" hidden="1">6</definedName>
    <definedName name="cshNumStatus" hidden="1">0</definedName>
    <definedName name="cshNumSteps" hidden="1">6</definedName>
    <definedName name="cshNumStreams" hidden="1">2</definedName>
    <definedName name="cshNumTargets" hidden="1">0</definedName>
    <definedName name="cshPrevEqu" hidden="1">FALSE</definedName>
    <definedName name="cshResult10Comments" hidden="1">FALSE</definedName>
    <definedName name="cshResult10Component" hidden="1">"Fe"</definedName>
    <definedName name="cshResult10Headers" hidden="1">TRUE</definedName>
    <definedName name="cshResult10Option" hidden="1">"Amount"</definedName>
    <definedName name="cshResult10Phase" hidden="1">"Slag"</definedName>
    <definedName name="cshResult10Unit" hidden="1">"kg/h"</definedName>
    <definedName name="cshResult11Comments" hidden="1">FALSE</definedName>
    <definedName name="cshResult11Component" hidden="1">"Mg"</definedName>
    <definedName name="cshResult11Headers" hidden="1">TRUE</definedName>
    <definedName name="cshResult11Option" hidden="1">"Amount"</definedName>
    <definedName name="cshResult11Phase" hidden="1">"Slag"</definedName>
    <definedName name="cshResult11Unit" hidden="1">"kg/h"</definedName>
    <definedName name="cshResult12Comments" hidden="1">FALSE</definedName>
    <definedName name="cshResult12Component" hidden="1">"Si"</definedName>
    <definedName name="cshResult12Headers" hidden="1">TRUE</definedName>
    <definedName name="cshResult12Option" hidden="1">"Amount"</definedName>
    <definedName name="cshResult12Phase" hidden="1">"Slag"</definedName>
    <definedName name="cshResult12Unit" hidden="1">"kg/h"</definedName>
    <definedName name="cshResult13Comments" hidden="1">FALSE</definedName>
    <definedName name="cshResult13Component" hidden="1">"Al"</definedName>
    <definedName name="cshResult13Headers" hidden="1">TRUE</definedName>
    <definedName name="cshResult13Option" hidden="1">"Amount"</definedName>
    <definedName name="cshResult13Phase" hidden="1">"Slag"</definedName>
    <definedName name="cshResult13Unit" hidden="1">"kg/h"</definedName>
    <definedName name="cshResult14Comments" hidden="1">FALSE</definedName>
    <definedName name="cshResult14Component" hidden="1">"Ca"</definedName>
    <definedName name="cshResult14Headers" hidden="1">TRUE</definedName>
    <definedName name="cshResult14Option" hidden="1">"Amount"</definedName>
    <definedName name="cshResult14Phase" hidden="1">"Slag"</definedName>
    <definedName name="cshResult14Unit" hidden="1">"kg/h"</definedName>
    <definedName name="cshResult15Comments" hidden="1">FALSE</definedName>
    <definedName name="cshResult15Component" hidden="1">"Cr"</definedName>
    <definedName name="cshResult15Headers" hidden="1">TRUE</definedName>
    <definedName name="cshResult15Option" hidden="1">"Amount"</definedName>
    <definedName name="cshResult15Phase" hidden="1">"Slag"</definedName>
    <definedName name="cshResult15Unit" hidden="1">"kg/h"</definedName>
    <definedName name="cshResult16Comments" hidden="1">FALSE</definedName>
    <definedName name="cshResult16Component" hidden="1">"Mn"</definedName>
    <definedName name="cshResult16Headers" hidden="1">TRUE</definedName>
    <definedName name="cshResult16Option" hidden="1">"Amount"</definedName>
    <definedName name="cshResult16Phase" hidden="1">"Slag"</definedName>
    <definedName name="cshResult16Unit" hidden="1">"kg/h"</definedName>
    <definedName name="cshResult17Comments" hidden="1">FALSE</definedName>
    <definedName name="cshResult17Component" hidden="1">"Co"</definedName>
    <definedName name="cshResult17Headers" hidden="1">TRUE</definedName>
    <definedName name="cshResult17Option" hidden="1">"Amount"</definedName>
    <definedName name="cshResult17Phase" hidden="1">"Slag"</definedName>
    <definedName name="cshResult17Unit" hidden="1">"kg/h"</definedName>
    <definedName name="cshResult18Comments" hidden="1">FALSE</definedName>
    <definedName name="cshResult18Component" hidden="1">"O"</definedName>
    <definedName name="cshResult18Headers" hidden="1">TRUE</definedName>
    <definedName name="cshResult18Option" hidden="1">"Amount"</definedName>
    <definedName name="cshResult18Phase" hidden="1">"Slag"</definedName>
    <definedName name="cshResult18Unit" hidden="1">"kg/h"</definedName>
    <definedName name="cshResult19Comments" hidden="1">FALSE</definedName>
    <definedName name="cshResult19Constituent" hidden="1">"CO"</definedName>
    <definedName name="cshResult19Headers" hidden="1">TRUE</definedName>
    <definedName name="cshResult19Option" hidden="1">"Amount"</definedName>
    <definedName name="cshResult19Phase" hidden="1">"Gas"</definedName>
    <definedName name="cshResult19Unit" hidden="1">"mol/s"</definedName>
    <definedName name="cshResult1Comments" hidden="1">TRUE</definedName>
    <definedName name="cshResult1Component" hidden="1">"ALL"</definedName>
    <definedName name="cshResult1Constituent" hidden="1">"C"</definedName>
    <definedName name="cshResult1Headers" hidden="1">TRUE</definedName>
    <definedName name="cshResult1Option" hidden="1">"Amount"</definedName>
    <definedName name="cshResult1Phase" hidden="1">"Alloy"</definedName>
    <definedName name="cshResult1Unit" hidden="1">"kg/h"</definedName>
    <definedName name="cshResult20Comments" hidden="1">FALSE</definedName>
    <definedName name="cshResult20Constituent" hidden="1">"CO2"</definedName>
    <definedName name="cshResult20Headers" hidden="1">TRUE</definedName>
    <definedName name="cshResult20Option" hidden="1">"Amount"</definedName>
    <definedName name="cshResult20Phase" hidden="1">"Gas"</definedName>
    <definedName name="cshResult20Unit" hidden="1">"mol/s"</definedName>
    <definedName name="cshResult2Comments" hidden="1">TRUE</definedName>
    <definedName name="cshResult2Component" hidden="1">"ALL"</definedName>
    <definedName name="cshResult2Headers" hidden="1">TRUE</definedName>
    <definedName name="cshResult2Option" hidden="1">"Amount"</definedName>
    <definedName name="cshResult2Phase" hidden="1">"Slag"</definedName>
    <definedName name="cshResult2Unit" hidden="1">"kg/h"</definedName>
    <definedName name="cshResult3Comments" hidden="1">FALSE</definedName>
    <definedName name="cshResult3Constituent" hidden="1">"C"</definedName>
    <definedName name="cshResult3Headers" hidden="1">TRUE</definedName>
    <definedName name="cshResult3Option" hidden="1">"Incoming amount"</definedName>
    <definedName name="cshResult3Phase" hidden="1">"C"</definedName>
    <definedName name="cshResult3Unit" hidden="1">"kg/h"</definedName>
    <definedName name="cshResult4Comments" hidden="1">TRUE</definedName>
    <definedName name="cshResult4Constituent" hidden="1">"Fe"</definedName>
    <definedName name="cshResult4Headers" hidden="1">TRUE</definedName>
    <definedName name="cshResult4Option" hidden="1">"Enthalpy"</definedName>
    <definedName name="cshResult4Phase" hidden="1">"Alloy"</definedName>
    <definedName name="cshResult4Unit" hidden="1">"J/s"</definedName>
    <definedName name="cshResult5Comments" hidden="1">TRUE</definedName>
    <definedName name="cshResult5Constituent" hidden="1">"CO"</definedName>
    <definedName name="cshResult5Headers" hidden="1">TRUE</definedName>
    <definedName name="cshResult5Option" hidden="1">"Amount"</definedName>
    <definedName name="cshResult5Phase" hidden="1">"Gas"</definedName>
    <definedName name="cshResult5Unit" hidden="1">"kg/h"</definedName>
    <definedName name="cshResult6Comments" hidden="1">TRUE</definedName>
    <definedName name="cshResult6Constituent" hidden="1">"CO2"</definedName>
    <definedName name="cshResult6Headers" hidden="1">TRUE</definedName>
    <definedName name="cshResult6Option" hidden="1">"Amount"</definedName>
    <definedName name="cshResult6Phase" hidden="1">"Gas"</definedName>
    <definedName name="cshResult6Unit" hidden="1">"kg/h"</definedName>
    <definedName name="cshResult7Comments" hidden="1">FALSE</definedName>
    <definedName name="cshResult7Constituent" hidden="1">"Co"</definedName>
    <definedName name="cshResult7Headers" hidden="1">TRUE</definedName>
    <definedName name="cshResult7Option" hidden="1">"Amount"</definedName>
    <definedName name="cshResult7Phase" hidden="1">"Alloy"</definedName>
    <definedName name="cshResult7Unit" hidden="1">"kg/h"</definedName>
    <definedName name="cshResult8Comments" hidden="1">FALSE</definedName>
    <definedName name="cshResult8Constituent" hidden="1">"Cr"</definedName>
    <definedName name="cshResult8Headers" hidden="1">TRUE</definedName>
    <definedName name="cshResult8Option" hidden="1">"Amount"</definedName>
    <definedName name="cshResult8Phase" hidden="1">"Alloy"</definedName>
    <definedName name="cshResult8Unit" hidden="1">"kg/h"</definedName>
    <definedName name="cshResult9Comments" hidden="1">FALSE</definedName>
    <definedName name="cshResult9Component" hidden="1">"Ni"</definedName>
    <definedName name="cshResult9Headers" hidden="1">TRUE</definedName>
    <definedName name="cshResult9Option" hidden="1">"Amount"</definedName>
    <definedName name="cshResult9Phase" hidden="1">"Slag"</definedName>
    <definedName name="cshResult9Unit" hidden="1">"kg/h"</definedName>
    <definedName name="cshStream1Equilibrium" hidden="1">FALSE</definedName>
    <definedName name="cshStream1Name" hidden="1">"Calcine"</definedName>
    <definedName name="cshStream1Pressure" hidden="1">1</definedName>
    <definedName name="cshStream1PressureUnit" hidden="1">"atm"</definedName>
    <definedName name="cshStream1Temperature" hidden="1">25</definedName>
    <definedName name="cshStream1TemperatureUnit" hidden="1">"C"</definedName>
    <definedName name="cshStream2Equilibrium" hidden="1">FALSE</definedName>
    <definedName name="cshStream2Name" hidden="1">"Reductant"</definedName>
    <definedName name="cshStream2Pressure" hidden="1">1</definedName>
    <definedName name="cshStream2PressureUnit" hidden="1">"atm"</definedName>
    <definedName name="cshStream2Temperature" hidden="1">25</definedName>
    <definedName name="cshStream2TemperatureUnit" hidden="1">"C"</definedName>
    <definedName name="cshUpdateCharts" hidden="1">TRUE</definedName>
    <definedName name="CSM">#REF!</definedName>
    <definedName name="csr" hidden="1">{"баланс",#N/A,TRUE,"Баланс  на  декабрь"}</definedName>
    <definedName name="CSRRRRRR" hidden="1">{"баланс",#N/A,TRUE,"Баланс  на  декабрь"}</definedName>
    <definedName name="CSWT">#REF!</definedName>
    <definedName name="CTCT1" hidden="1">{"'Sheet1'!$L$16"}</definedName>
    <definedName name="ctct2" hidden="1">{"'Sheet1'!$L$16"}</definedName>
    <definedName name="cur_pg">#REF!</definedName>
    <definedName name="CUR_YEAR">#REF!</definedName>
    <definedName name="CURRENCY">#REF!</definedName>
    <definedName name="Currency_Exchange_Rate">#REF!</definedName>
    <definedName name="currencya">#REF!</definedName>
    <definedName name="currencyb">#REF!</definedName>
    <definedName name="currencyc">#REF!</definedName>
    <definedName name="currencyd">#REF!</definedName>
    <definedName name="CURRENT_UNIT">#REF!</definedName>
    <definedName name="CURVE" hidden="1">{#N/A,#N/A,FALSE,"COVER1.XLS ";#N/A,#N/A,FALSE,"RACT1.XLS";#N/A,#N/A,FALSE,"RACT2.XLS";#N/A,#N/A,FALSE,"ECCMP";#N/A,#N/A,FALSE,"WELDER.XLS"}</definedName>
    <definedName name="CURVE_1" hidden="1">{#N/A,#N/A,FALSE,"COVER1.XLS ";#N/A,#N/A,FALSE,"RACT1.XLS";#N/A,#N/A,FALSE,"RACT2.XLS";#N/A,#N/A,FALSE,"ECCMP";#N/A,#N/A,FALSE,"WELDER.XLS"}</definedName>
    <definedName name="CustomDuties_Crude">NA()</definedName>
    <definedName name="CustomDuties_Crude_1">"$#ССЫЛ!.$E$68:$E$88"</definedName>
    <definedName name="CustomDuties_Heavy_Products">NA()</definedName>
    <definedName name="CustomDuties_Heavy_Products_1">"$#ССЫЛ!.$E$110:$E$130"</definedName>
    <definedName name="CustomDuties_Light_Products">NA()</definedName>
    <definedName name="CustomDuties_Light_Products_1">"$#ССЫЛ!.$E$89:$E$109"</definedName>
    <definedName name="CustomDuties_Products">"$#ССЫЛ!.$E$89:$E$109"</definedName>
    <definedName name="CustomDuties_Products_1">"$#ССЫЛ!.$E$89:$E$109"</definedName>
    <definedName name="CV" localSheetId="0" hidden="1">Main.SAPF4Help()</definedName>
    <definedName name="CV" localSheetId="2" hidden="1">Main.SAPF4Help()</definedName>
    <definedName name="CV" localSheetId="1" hidden="1">Main.SAPF4Help()</definedName>
    <definedName name="CV" hidden="1">Main.SAPF4Help()</definedName>
    <definedName name="cvccbcvbvcbvc" hidden="1">#N/A</definedName>
    <definedName name="Cw">#REF!</definedName>
    <definedName name="CWELLH_PLAT">#REF!</definedName>
    <definedName name="Cwvu.GREY_ALL." hidden="1">#REF!</definedName>
    <definedName name="CYCLE___LVL_1____1_HEXENE">#REF!</definedName>
    <definedName name="CYCLE___LVL_1____DOCK">#REF!</definedName>
    <definedName name="CYCLE___LVL_1____OFFSITES">#REF!</definedName>
    <definedName name="CYCLE___LVL_1_ETHYLENE">#REF!</definedName>
    <definedName name="CYCLE___LVL_1_POLYETHYLENE">#REF!</definedName>
    <definedName name="czcnzncmzcnmzc" hidden="1">{#N/A,#N/A,TRUE,"Содержание";#N/A,#N/A,TRUE,"Выработка";#N/A,#N/A,TRUE,"Расход"}</definedName>
    <definedName name="czczmcnmzcncz" hidden="1">{#N/A,#N/A,FALSE,"OVERVIEW 98";#N/A,#N/A,FALSE,"PMD 98  to 2000";#N/A,#N/A,FALSE,"SMD 98 to 2000";#N/A,#N/A,FALSE,"Facilities98";#N/A,#N/A,FALSE,"Quality"}</definedName>
    <definedName name="C价" hidden="1">{"'现金流量表（全部投资）'!$B$4:$P$23"}</definedName>
    <definedName name="d">#REF!</definedName>
    <definedName name="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_7101A_B">#REF!</definedName>
    <definedName name="d_dddw_spec_cmpnt_mfr__cmpnt_mfr_name">#REF!</definedName>
    <definedName name="d_HEADER_02" hidden="1">#REF!</definedName>
    <definedName name="D_USD_Schweiz" hidden="1">#REF!</definedName>
    <definedName name="D25_F25__2__2_G25__H25_I25">#REF!</definedName>
    <definedName name="DA">#REF!</definedName>
    <definedName name="daa" hidden="1">{"Output-Min",#N/A,FALSE,"Output"}</definedName>
    <definedName name="DAME">#REF!</definedName>
    <definedName name="danweiC" hidden="1">{"'费率表'!$A$1:$N$18"}</definedName>
    <definedName name="dasd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dasdasd" hidden="1">{#N/A,#N/A,FALSE,"ihz. icmal";#N/A,#N/A,FALSE,"avans";#N/A,#N/A,FALSE,"mal_FF_icm";#N/A,#N/A,FALSE,"fat_ihz";#N/A,#N/A,FALSE,"söz_fiy_fark";#N/A,#N/A,FALSE,"kap2"}</definedName>
    <definedName name="dasg">#REF!</definedName>
    <definedName name="data">#REF!</definedName>
    <definedName name="DATA_01" hidden="1">#REF!</definedName>
    <definedName name="DATA_02" hidden="1">#REF!</definedName>
    <definedName name="DATA_03" hidden="1">#REF!</definedName>
    <definedName name="DATA_04" hidden="1">#REF!</definedName>
    <definedName name="DATA_05" hidden="1">#REF!</definedName>
    <definedName name="DATA_06" hidden="1">#REF!</definedName>
    <definedName name="DATA_07" hidden="1">#REF!</definedName>
    <definedName name="DATA_08" hidden="1">#REF!</definedName>
    <definedName name="data_123456789" hidden="1">#REF!</definedName>
    <definedName name="data_file">#REF!</definedName>
    <definedName name="data_fill">#REF!</definedName>
    <definedName name="data_input">#N/A</definedName>
    <definedName name="data_save">#N/A</definedName>
    <definedName name="data1" hidden="1">#REF!</definedName>
    <definedName name="data2" hidden="1">#REF!</definedName>
    <definedName name="data3" hidden="1">#REF!</definedName>
    <definedName name="Data4">#REF!</definedName>
    <definedName name="Data5">#REF!</definedName>
    <definedName name="Database_MI">#REF!</definedName>
    <definedName name="DataFilter" localSheetId="0">#REF!</definedName>
    <definedName name="DataFilter" localSheetId="2">#REF!</definedName>
    <definedName name="DataFilter" localSheetId="1">#REF!</definedName>
    <definedName name="DataFilter">#REF!</definedName>
    <definedName name="DataSort" localSheetId="0">#REF!</definedName>
    <definedName name="DataSort" localSheetId="2">#REF!</definedName>
    <definedName name="DataSort" localSheetId="1">#REF!</definedName>
    <definedName name="DataSort">#REF!</definedName>
    <definedName name="date">#REF!</definedName>
    <definedName name="DATE_1">#N/A</definedName>
    <definedName name="Date1">#REF!</definedName>
    <definedName name="Date2">#REF!</definedName>
    <definedName name="Date3">#REF!</definedName>
    <definedName name="Date4">#REF!</definedName>
    <definedName name="dates1">#REF!</definedName>
    <definedName name="dates3">#REF!</definedName>
    <definedName name="DAVID">#REF!</definedName>
    <definedName name="DB">"WIRENYPROD"</definedName>
    <definedName name="DB_M">#REF!</definedName>
    <definedName name="DB_MT">#REF!</definedName>
    <definedName name="dbc" hidden="1">{"План продаж",#N/A,FALSE,"товар"}</definedName>
    <definedName name="DBin" hidden="1">#REF!</definedName>
    <definedName name="dBuySell">#REF!</definedName>
    <definedName name="Dc">#REF!</definedName>
    <definedName name="dcBuySell">#REF!</definedName>
    <definedName name="dcLocation">#REF!</definedName>
    <definedName name="dcLocationCapacity">#REF!</definedName>
    <definedName name="dcLocationHandling">#REF!</definedName>
    <definedName name="dcLocationProductBundle">#REF!</definedName>
    <definedName name="DcMtype">#REF!</definedName>
    <definedName name="dcPartner">#REF!</definedName>
    <definedName name="dCPLEXOpt">#REF!</definedName>
    <definedName name="dcProcess">#REF!</definedName>
    <definedName name="dcProcessCoefficients">#REF!</definedName>
    <definedName name="dcProcessLocation">#REF!</definedName>
    <definedName name="dcProcessMode">#REF!</definedName>
    <definedName name="dcProduct">#REF!</definedName>
    <definedName name="dcProductBundle">#REF!</definedName>
    <definedName name="dcProductBundleList">#REF!</definedName>
    <definedName name="Dcprop">#REF!</definedName>
    <definedName name="Dcproptwo">#REF!</definedName>
    <definedName name="DCTA">#REF!</definedName>
    <definedName name="DCTC">#REF!</definedName>
    <definedName name="DCTC1">#REF!</definedName>
    <definedName name="dcTransport">#REF!</definedName>
    <definedName name="dcTransportMode">#REF!</definedName>
    <definedName name="Dctwo">#REF!</definedName>
    <definedName name="DCType">#REF!</definedName>
    <definedName name="DcTypetwo">#REF!</definedName>
    <definedName name="dd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dd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ddd" hidden="1">{"План продаж",#N/A,FALSE,"товар"}</definedName>
    <definedName name="dddd" hidden="1">{#N/A,#N/A,FALSE,"제목"}</definedName>
    <definedName name="dddd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DDDDD">#REF!</definedName>
    <definedName name="dddddddd" hidden="1">#REF!,#REF!</definedName>
    <definedName name="ddddddddd" hidden="1">{#N/A,#N/A,FALSE,"Sheet1";#N/A,#N/A,FALSE,"Sheet1";#N/A,#N/A,FALSE,"Sheet1"}</definedName>
    <definedName name="dddddddddd" hidden="1">#REF!,#REF!,#REF!,#REF!</definedName>
    <definedName name="DDDDDDDDDDDDD" hidden="1">{#N/A,#N/A,TRUE,"Basic";#N/A,#N/A,TRUE,"EXT-TABLE";#N/A,#N/A,TRUE,"STEEL";#N/A,#N/A,TRUE,"INT-Table";#N/A,#N/A,TRUE,"STEEL";#N/A,#N/A,TRUE,"Door"}</definedName>
    <definedName name="dddddddddddddd" hidden="1">{#N/A,#N/A,TRUE,"Basic";#N/A,#N/A,TRUE,"EXT-TABLE";#N/A,#N/A,TRUE,"STEEL";#N/A,#N/A,TRUE,"INT-Table";#N/A,#N/A,TRUE,"STEEL";#N/A,#N/A,TRUE,"Door"}</definedName>
    <definedName name="dddddddddddddd_1" hidden="1">{#N/A,#N/A,TRUE,"Basic";#N/A,#N/A,TRUE,"EXT-TABLE";#N/A,#N/A,TRUE,"STEEL";#N/A,#N/A,TRUE,"INT-Table";#N/A,#N/A,TRUE,"STEEL";#N/A,#N/A,TRUE,"Door"}</definedName>
    <definedName name="DDEES" hidden="1">#REF!,#REF!,#REF!</definedName>
    <definedName name="DDFD" hidden="1">{#N/A,#N/A,FALSE,"CCTV"}</definedName>
    <definedName name="DDFF" hidden="1">#REF!,#REF!,#REF!,#REF!,#REF!,#REF!</definedName>
    <definedName name="DDINN" hidden="1">{#N/A,#N/A,FALSE,"ZAP_FEB.XLS "}</definedName>
    <definedName name="Ddinnic_97" hidden="1">{#N/A,#N/A,FALSE,"ZAP_FEB.XLS "}</definedName>
    <definedName name="dds">#REF!</definedName>
    <definedName name="ddsd" hidden="1">#REF!</definedName>
    <definedName name="de" hidden="1">#REF!</definedName>
    <definedName name="deaweqw" hidden="1">#REF!</definedName>
    <definedName name="DEBT">#REF!</definedName>
    <definedName name="DEC_NPV">#REF!</definedName>
    <definedName name="dede" hidden="1">#REF!</definedName>
    <definedName name="deee" hidden="1">{#N/A,#N/A,FALSE,"ihz. icmal";#N/A,#N/A,FALSE,"avans";#N/A,#N/A,FALSE,"mal_FF_icm";#N/A,#N/A,FALSE,"fat_ihz";#N/A,#N/A,FALSE,"söz_fiy_fark";#N/A,#N/A,FALSE,"kap2"}</definedName>
    <definedName name="def" hidden="1">#REF!</definedName>
    <definedName name="def.bar_16mm">#REF!</definedName>
    <definedName name="def.bar_20mm">#REF!</definedName>
    <definedName name="Dehy" hidden="1">#REF!</definedName>
    <definedName name="del_logic">#REF!</definedName>
    <definedName name="DEL_TERMS">#REF!</definedName>
    <definedName name="delete_no">#REF!</definedName>
    <definedName name="delete_pg">#REF!</definedName>
    <definedName name="DELETE_PG1">#REF!</definedName>
    <definedName name="delete_pgno">#REF!</definedName>
    <definedName name="DeleteDripringWarning">#REF!</definedName>
    <definedName name="delivE">#REF!</definedName>
    <definedName name="delivM">#REF!</definedName>
    <definedName name="DELTA" hidden="1">{#N/A,#N/A,FALSE,"Sum6 (1)"}</definedName>
    <definedName name="DEM">#REF!</definedName>
    <definedName name="deneme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ens">#REF!</definedName>
    <definedName name="Density_kg_m3">#REF!</definedName>
    <definedName name="departure">#REF!</definedName>
    <definedName name="DepreciationExpense_02GAAPNGWНачисленнаяАмортизацияСоциальные" hidden="1">#REF!</definedName>
    <definedName name="DepreciationExpense_02БУАмортизацияПоДобКапвлож" hidden="1">#REF!</definedName>
    <definedName name="DepreciationExpense_09БУАмортизацияПоДобКапвлож" hidden="1">#REF!</definedName>
    <definedName name="DeprOpen_СоцМашПроч" hidden="1">#REF!</definedName>
    <definedName name="depth">NA()</definedName>
    <definedName name="depth_1">NA()</definedName>
    <definedName name="DEPTH2">#REF!</definedName>
    <definedName name="der">#REF!</definedName>
    <definedName name="Description">#REF!</definedName>
    <definedName name="DesignBookNo">#REF!</definedName>
    <definedName name="DESIGNS">#REF!</definedName>
    <definedName name="DesignTable">#REF!</definedName>
    <definedName name="DesignTable2PassTray">#REF!</definedName>
    <definedName name="DesignTable4PassTray">#REF!</definedName>
    <definedName name="DesignTableDot">#REF!</definedName>
    <definedName name="DesignTableHigher">#REF!</definedName>
    <definedName name="DesignTableLower">#REF!</definedName>
    <definedName name="DesignTableTop">#REF!</definedName>
    <definedName name="Dest_art">#REF!</definedName>
    <definedName name="destination">#REF!</definedName>
    <definedName name="DetailPic">#REF!</definedName>
    <definedName name="DEV_COST_BOE">#REF!</definedName>
    <definedName name="DEV_PERIOD">#REF!</definedName>
    <definedName name="df">#REF!</definedName>
    <definedName name="dfa" hidden="1">#REF!</definedName>
    <definedName name="dfaf" hidden="1">{"'장비'!$A$3:$M$12"}</definedName>
    <definedName name="dfas" hidden="1">#REF!</definedName>
    <definedName name="dfd" hidden="1">{"'DocTypeCode'!$A$142:$A$226"}</definedName>
    <definedName name="dfdas" hidden="1">{"FCB_ALL",#N/A,FALSE,"FCB";"GREY_ALL",#N/A,FALSE,"GREY"}</definedName>
    <definedName name="dfdfd" hidden="1">{"FCB_ALL",#N/A,FALSE,"FCB";"GREY_ALL",#N/A,FALSE,"GREY"}</definedName>
    <definedName name="dfdfdfd" hidden="1">{"FCB_ALL",#N/A,FALSE,"FCB"}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gdf">#REF!</definedName>
    <definedName name="dfgdfgssd" hidden="1">#REF!</definedName>
    <definedName name="dfgfhgfhd" hidden="1">{"Товар.выработка без продаж",#N/A,FALSE,"товар"}</definedName>
    <definedName name="DFGGG" hidden="1">#REF!</definedName>
    <definedName name="df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dfghdf">#REF!</definedName>
    <definedName name="dfhdf" hidden="1">#N/A</definedName>
    <definedName name="dfhfh" hidden="1">#REF!</definedName>
    <definedName name="dfhgdf">#REF!</definedName>
    <definedName name="DFL">#REF!</definedName>
    <definedName name="dfwc" hidden="1">#REF!</definedName>
    <definedName name="dgagd" hidden="1">{#N/A,#N/A,TRUE,"Basic";#N/A,#N/A,TRUE,"EXT-TABLE";#N/A,#N/A,TRUE,"STEEL";#N/A,#N/A,TRUE,"INT-Table";#N/A,#N/A,TRUE,"STEEL";#N/A,#N/A,TRUE,"Door"}</definedName>
    <definedName name="DG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S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DSF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Dgffhyg">#REF!</definedName>
    <definedName name="dgfgjgj" hidden="1">{#N/A,#N/A,FALSE,"CCTV"}</definedName>
    <definedName name="Dgfhgj">#REF!</definedName>
    <definedName name="dghs" hidden="1">#REF!</definedName>
    <definedName name="dGlobalParameter">#REF!</definedName>
    <definedName name="dgsdfd">#REF!</definedName>
    <definedName name="dh" hidden="1">#REF!</definedName>
    <definedName name="dheight">#REF!</definedName>
    <definedName name="DHJ" hidden="1">#N/A</definedName>
    <definedName name="DHS">#REF!</definedName>
    <definedName name="diesel_bbl">#REF!</definedName>
    <definedName name="Diesel_Excise">NA()</definedName>
    <definedName name="Diesel_Excise_1">"$#ССЫЛ!.$E$540:$E$560"</definedName>
    <definedName name="DieselDemandGrowth">NA()</definedName>
    <definedName name="DieselDemandGrowth_1">"$#ССЫЛ!.$E$341:$E$361"</definedName>
    <definedName name="Diff">#REF!</definedName>
    <definedName name="DIFF_GES">#REF!</definedName>
    <definedName name="DIFF_PREIS">#REF!</definedName>
    <definedName name="DIGN" hidden="1">{#N/A,#N/A,TRUE,"Basic";#N/A,#N/A,TRUE,"EXT-TABLE";#N/A,#N/A,TRUE,"STEEL";#N/A,#N/A,TRUE,"INT-Table";#N/A,#N/A,TRUE,"STEEL";#N/A,#N/A,TRUE,"Door"}</definedName>
    <definedName name="DIN_Festigkeiten">#REF!</definedName>
    <definedName name="dinitResult">#REF!</definedName>
    <definedName name="dinldc" hidden="1">{#N/A,#N/A,FALSE,"ZAP_FEB.XLS "}</definedName>
    <definedName name="Disc">#REF!</definedName>
    <definedName name="DISC_RATE">#REF!</definedName>
    <definedName name="Discharge">#REF!</definedName>
    <definedName name="Discl" hidden="1">{"Valuation_Common",#N/A,FALSE,"Valuation"}</definedName>
    <definedName name="Discount" hidden="1">#REF!</definedName>
    <definedName name="DISEGNO">#REF!</definedName>
    <definedName name="display_area_2" hidden="1">#REF!</definedName>
    <definedName name="DISPLAY_area_3" hidden="1">#REF!</definedName>
    <definedName name="Disposals_01GAAPNGWВыбытиеПроизводственные" hidden="1">#REF!</definedName>
    <definedName name="DIST_S" hidden="1">#REF!</definedName>
    <definedName name="ditemn">#REF!</definedName>
    <definedName name="Division">#REF!</definedName>
    <definedName name="Division2">#REF!</definedName>
    <definedName name="DKDLFJKDS" hidden="1">{#N/A,#N/A,TRUE,"Basic";#N/A,#N/A,TRUE,"EXT-TABLE";#N/A,#N/A,TRUE,"STEEL";#N/A,#N/A,TRUE,"INT-Table";#N/A,#N/A,TRUE,"STEEL";#N/A,#N/A,TRUE,"Door"}</definedName>
    <definedName name="DKR">#REF!</definedName>
    <definedName name="DL43732e59_ad02_406e_8083_3e74252e6a3e" hidden="1">#REF!</definedName>
    <definedName name="DLb0a3868c_c0e8_448a_91a5_df33c3260ac2" hidden="1">#REF!</definedName>
    <definedName name="dLocationCapacity">#REF!</definedName>
    <definedName name="dLocationHandling">#REF!</definedName>
    <definedName name="dLocationList">#REF!</definedName>
    <definedName name="dLocationProductBundle">#REF!</definedName>
    <definedName name="DME_Dirty" hidden="1">"False"</definedName>
    <definedName name="dname">#REF!</definedName>
    <definedName name="DNsuch">#REF!</definedName>
    <definedName name="Doc">#REF!</definedName>
    <definedName name="doc_no">#REF!</definedName>
    <definedName name="Doc_Sas">#REF!</definedName>
    <definedName name="DocumentNumber">#REF!</definedName>
    <definedName name="DOHE">#REF!</definedName>
    <definedName name="DOI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Domestic_Crude_Price">NA()</definedName>
    <definedName name="Domestic_Crude_Price_1">"$#ССЫЛ!.$E$131:$E$151"</definedName>
    <definedName name="DOOTH">#REF!</definedName>
    <definedName name="DOP">#REF!</definedName>
    <definedName name="DORCoding">#REF!</definedName>
    <definedName name="DORContrName">#REF!</definedName>
    <definedName name="DOT">#REF!</definedName>
    <definedName name="DotDetailPictureLeft">#REF!</definedName>
    <definedName name="DotDetailPictureRight">#REF!</definedName>
    <definedName name="DotDetailPictureRightBig">#REF!</definedName>
    <definedName name="DotDetailPictureTrough">#REF!</definedName>
    <definedName name="downspouts">#REF!</definedName>
    <definedName name="dPartnerList">#REF!</definedName>
    <definedName name="Dpdry">#REF!</definedName>
    <definedName name="Dpdrymid">#REF!</definedName>
    <definedName name="Dpdrytwo">#REF!</definedName>
    <definedName name="dpdt">"$#ССЫЛ!.$C$20"</definedName>
    <definedName name="dpdt_1">NA()</definedName>
    <definedName name="dProcessCoefficients">#REF!</definedName>
    <definedName name="dProcessList">#REF!</definedName>
    <definedName name="dProcessLocation">#REF!</definedName>
    <definedName name="dProcessMode">#REF!</definedName>
    <definedName name="dProductBundleList">#REF!</definedName>
    <definedName name="dProductList">#REF!</definedName>
    <definedName name="dptraymidmm">#REF!</definedName>
    <definedName name="Dptraymm">#REF!</definedName>
    <definedName name="Dptraymmtwo">#REF!</definedName>
    <definedName name="Dpud">#REF!</definedName>
    <definedName name="Dpudmid">#REF!</definedName>
    <definedName name="Dpudtwo">#REF!</definedName>
    <definedName name="draka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Draw">#REF!</definedName>
    <definedName name="DropDown18_Change" localSheetId="0">#REF!</definedName>
    <definedName name="DropDown18_Change" localSheetId="2">#REF!</definedName>
    <definedName name="DropDown18_Change" localSheetId="1">#REF!</definedName>
    <definedName name="DropDown18_Change">#REF!</definedName>
    <definedName name="DRS_02">#REF!,#REF!</definedName>
    <definedName name="DRS_Header">#REF!</definedName>
    <definedName name="DRS_Title">#REF!</definedName>
    <definedName name="DRY_TRANSFORMER">#REF!</definedName>
    <definedName name="ds" hidden="1">{"'Sheet1'!$A$1:$G$96","'Sheet1'!$A$1:$H$96"}</definedName>
    <definedName name="dsadas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safasdasd">#REF!</definedName>
    <definedName name="dsasd" hidden="1">#REF!</definedName>
    <definedName name="dsasdwq" hidden="1">#REF!</definedName>
    <definedName name="DSD" localSheetId="0" hidden="1">Main.SAPF4Help()</definedName>
    <definedName name="DSD" localSheetId="2" hidden="1">Main.SAPF4Help()</definedName>
    <definedName name="DSD" localSheetId="1" hidden="1">Main.SAPF4Help()</definedName>
    <definedName name="DSD" hidden="1">Main.SAPF4Help()</definedName>
    <definedName name="DSDSD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DSDSD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dsfa">#REF!</definedName>
    <definedName name="dsfh" hidden="1">#REF!</definedName>
    <definedName name="dsfs" hidden="1">#REF!</definedName>
    <definedName name="dsfsd" hidden="1">{0,0}</definedName>
    <definedName name="dsfsdfdsfds" hidden="1">{"План продаж",#N/A,FALSE,"товар"}</definedName>
    <definedName name="dsl.cancel">#REF!</definedName>
    <definedName name="dsl.defok">#REF!</definedName>
    <definedName name="dsl.listbox">#REF!</definedName>
    <definedName name="dsl.lst">#REF!</definedName>
    <definedName name="dss" localSheetId="0" hidden="1">Main.SAPF4Help()</definedName>
    <definedName name="dss" localSheetId="2" hidden="1">Main.SAPF4Help()</definedName>
    <definedName name="dss" localSheetId="1" hidden="1">Main.SAPF4Help()</definedName>
    <definedName name="dss" hidden="1">Main.SAPF4Help()</definedName>
    <definedName name="dstandlist">#REF!</definedName>
    <definedName name="DSUMDATA">#REF!</definedName>
    <definedName name="dtb">NA()</definedName>
    <definedName name="dtb_1">NA()</definedName>
    <definedName name="dtext">#REF!</definedName>
    <definedName name="dTransport">#REF!</definedName>
    <definedName name="dTransportList">#REF!</definedName>
    <definedName name="dTransportMode">#REF!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w_uom_dn__uom_code">#REF!</definedName>
    <definedName name="dw_uom_pr__uom_code">#REF!</definedName>
    <definedName name="dw_uom_tm__uom_code">#REF!</definedName>
    <definedName name="dw_uom_vs__uom_code">#REF!</definedName>
    <definedName name="DW32DW500">#REF!</definedName>
    <definedName name="dwidth">#REF!</definedName>
    <definedName name="DWPRICE" hidden="1">#REF!</definedName>
    <definedName name="dwv" hidden="1">{#N/A,#N/A,TRUE,"Basic";#N/A,#N/A,TRUE,"EXT-TABLE";#N/A,#N/A,TRUE,"STEEL";#N/A,#N/A,TRUE,"INT-Table";#N/A,#N/A,TRUE,"STEEL";#N/A,#N/A,TRUE,"Door"}</definedName>
    <definedName name="dxpostion">#REF!</definedName>
    <definedName name="dypostion">#REF!</definedName>
    <definedName name="D价" hidden="1">{"'现金流量表（全部投资）'!$B$4:$P$23"}</definedName>
    <definedName name="e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e_COURSE" hidden="1">#REF!</definedName>
    <definedName name="e_COURSE_EURO" hidden="1">#REF!</definedName>
    <definedName name="e_FULL_NAME" hidden="1">#REF!</definedName>
    <definedName name="e_FULLNAME" hidden="1">#REF!</definedName>
    <definedName name="e_NDS_RATE" hidden="1">#REF!</definedName>
    <definedName name="E114_">#N/A</definedName>
    <definedName name="e22e" hidden="1">#REF!,#REF!,#REF!,#REF!,#REF!,#REF!,#REF!</definedName>
    <definedName name="EA">#REF!</definedName>
    <definedName name="EA_COST">#REF!</definedName>
    <definedName name="EA_COST_BOE">#REF!</definedName>
    <definedName name="Eben1">#REF!</definedName>
    <definedName name="Eben2">#REF!</definedName>
    <definedName name="Eben3">#REF!</definedName>
    <definedName name="EBITDA_august">#REF!</definedName>
    <definedName name="EBITDA_Bridge">#REF!</definedName>
    <definedName name="EBITDA_december">#REF!</definedName>
    <definedName name="EBITDA_july">#REF!</definedName>
    <definedName name="EBITDA_november">#REF!</definedName>
    <definedName name="EBITDA_october">#REF!</definedName>
    <definedName name="EBITDA_september">#REF!</definedName>
    <definedName name="EC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C_1" hidden="1">{#N/A,#N/A,FALSE,"CCTV"}</definedName>
    <definedName name="echo_transit">#REF!</definedName>
    <definedName name="eck" hidden="1">#N/A</definedName>
    <definedName name="ED" hidden="1">{#N/A,#N/A,FALSE,"ihz. icmal";#N/A,#N/A,FALSE,"avans";#N/A,#N/A,FALSE,"mal_FF_icm";#N/A,#N/A,FALSE,"fat_ihz";#N/A,#N/A,FALSE,"söz_fiy_fark";#N/A,#N/A,FALSE,"kap2"}</definedName>
    <definedName name="ED_1" hidden="1">{#N/A,#N/A,FALSE,"CCTV"}</definedName>
    <definedName name="ED_Izm">#REF!</definedName>
    <definedName name="edf" hidden="1">{#N/A,#N/A,FALSE,"ihz. icmal";#N/A,#N/A,FALSE,"avans";#N/A,#N/A,FALSE,"mal_FF_icm";#N/A,#N/A,FALSE,"fat_ihz";#N/A,#N/A,FALSE,"söz_fiy_fark";#N/A,#N/A,FALSE,"kap2"}</definedName>
    <definedName name="edggfd" hidden="1">#REF!</definedName>
    <definedName name="edqweq">#REF!</definedName>
    <definedName name="eds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edw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ee" hidden="1">{#N/A,#N/A,FALSE,"ZAP_FEB.XLS "}</definedName>
    <definedName name="eee" hidden="1">{"NWN_Q1810",#N/A,FALSE,"Q1810_1.V";"NWN_Q1412",#N/A,FALSE,"Q1412_1"}</definedName>
    <definedName name="eee_1" hidden="1">{"NWN_Q1810",#N/A,FALSE,"Q1810_1.V";"NWN_Q1412",#N/A,FALSE,"Q1412_1"}</definedName>
    <definedName name="EEEE" hidden="1">{#N/A,#N/A,TRUE,"Basic";#N/A,#N/A,TRUE,"EXT-TABLE";#N/A,#N/A,TRUE,"STEEL";#N/A,#N/A,TRUE,"INT-Table";#N/A,#N/A,TRUE,"STEEL";#N/A,#N/A,TRUE,"Door"}</definedName>
    <definedName name="eeeee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eefed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F">#REF!</definedName>
    <definedName name="EFA">#REF!</definedName>
    <definedName name="efds" hidden="1">#REF!</definedName>
    <definedName name="ef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GP">#REF!</definedName>
    <definedName name="Einheit">#REF!</definedName>
    <definedName name="Einheit1">#REF!,#REF!,#REF!,#REF!,#REF!</definedName>
    <definedName name="Einheit2">#REF!,#REF!,#REF!</definedName>
    <definedName name="Einheit3">#REF!,#REF!</definedName>
    <definedName name="Einheit4">#REF!,#REF!</definedName>
    <definedName name="Einheitspreis">#REF!</definedName>
    <definedName name="Einzelsummen">#REF!</definedName>
    <definedName name="Einzelzuschläge">#REF!</definedName>
    <definedName name="el">#REF!</definedName>
    <definedName name="EL_DOC">#REF!</definedName>
    <definedName name="elec">#REF!</definedName>
    <definedName name="elec1">#REF!</definedName>
    <definedName name="ElectricalGroup">#REF!</definedName>
    <definedName name="ELL">#REF!</definedName>
    <definedName name="elman" hidden="1">#REF!</definedName>
    <definedName name="eltwo">#REF!</definedName>
    <definedName name="emin" hidden="1">#REF!</definedName>
    <definedName name="EMP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G_BI_LBI" hidden="1">"0XP3XR07VV"</definedName>
    <definedName name="ENG_BI_TLA" hidden="1">"147;223;88;42;169;210;117;246;78;25;45;80;108;68;156;22;190;211;222;154;83;206;157;25;148;159;148;79;181;284;96;183"</definedName>
    <definedName name="ENG_DESIGN">#REF!</definedName>
    <definedName name="Engineer1">#REF!</definedName>
    <definedName name="Engineer2">#REF!</definedName>
    <definedName name="EngineeredBy">#REF!</definedName>
    <definedName name="Engineering_Basic_and_Detail">#REF!</definedName>
    <definedName name="Engineering_Basic_Only">#REF!</definedName>
    <definedName name="Engineering_for_Equipment">#REF!</definedName>
    <definedName name="Engineering_Output">#REF!</definedName>
    <definedName name="Engract">#REF!</definedName>
    <definedName name="EngrFcst">#REF!</definedName>
    <definedName name="EngrPlan">#REF!</definedName>
    <definedName name="enr">#REF!</definedName>
    <definedName name="enter">#REF!</definedName>
    <definedName name="EPMWorkbookOptions_1" hidden="1">"wHcAAB+LCAAAAAAABADtnW1vokoUgL9vsv+h8bvy6ltj3VDE6l4Vgtje3mZjQMeWrAUv0HX3398BQUGoC91pL4yYJlVm5jDn4RzOmYGBzpefz+uLH8CyddO4qlA1snIBjIW51I3Hq8qLs6pSjcqX7udPnTvT+q6Z5ndx48Cq9gVsZ9iXP239qvLkOJtLgthut7UtUzOtR4ImSYr4ezyaLp7As1rVDdtRjQWo7Fstf9+qAvd6cdHhTcMAC3ef"</definedName>
    <definedName name="EPMWorkbookOptions_10" hidden="1">"10C1XKGiMVV/gKDm8WavbvBWXHjKcjyMQe14QbT+dukftc7QvlUtXdXWYAysx4OE2PbPnw5i/bfwdv8DUNaN+MB3AAA="</definedName>
    <definedName name="EPMWorkbookOptions_11" hidden="1">"EPvMpEgJ0jHl5mN+nPt3NtnptpCQ5sAwlVIhIY1r9fZ6hYQ0h4apBEtdQhoyREx6woDvDuBrYSKjI6Tn2T8o6ofg2wJaGsi85zV+jTQvjpH/oGPHrZBkbJzy2lR6Rp7l4WHH9kY3HmRdf7A7qeXQ6FkHC/z2Lwq+au2BeS0ZqiSv0AgZP3ceAsc/f9q55dcuG/8DPDtYz0+6AAA="</definedName>
    <definedName name="EPMWorkbookOptions_2" hidden="1">"ism/WBYwnFsdbL3CSHFPdVR/K9w+UZ/Bbm/7PTngefNi6d6uZjawJAusAJS3ADXYoUp33pfG82uJn9xR5PzBb2SrG21bs3XtxaqtzYW6vmyRNOluJrTNgvg2f5gOr2cy/A97Yptrfam6nYG/V+raBvv/HcLt0aF/3Gaz1hdqiGXqfgYyolJCm331u5EeHXVgBy/GM0URLByDZw1YM0P/9wV4Uh84nhdnE+Vb7UHiZGGiDCj361ChaZqk4HEN"</definedName>
    <definedName name="EPMWorkbookOptions_3" hidden="1">"PpBDrHFM/EAHlmotnn4dKl1AQ7s09PVVxbFeoB0R8VY9/RkYrhmnb9Uh0BHgB5wMdT9CwI1G830Jtrr3R+JdVO/+HGN1hxNFkHkxfqSDAow1v72e3Qtykup+Cb66K8J4rtxLQoLysMgrwVZ5SRZ7Mz7h5BYU4Kz5V0/LRN2/eiXYKi8LN0NxEtccbu/NMPZ1WVL4mQxV5u+hxvBvxOOr7J0o/8VzUvwoBwUF0fxESahgoC+XwNjv2D4Bb1/p"</definedName>
    <definedName name="EPMWorkbookOptions_4" hidden="1">"VocDAH2tO79SqdD1s+EOkVSYgM7tUddVt0P4P07o/PteIdEhyFoLrYSbmBZaAT+jLLgOu9Sw2EoE2V+htfCztaLrsEvICq3FLrMqtgqHJKnQevhpzv+jQ6TyydwkrOthSjCWv0yfzMNOeXNtWn5fEwpONfW0T2iZQMVryJuGA346ffWHaekO7Jc377lrHCtL0b6vW7YT6kBy+ZGgfS9fB5S2ForULixjR7xKNeokxbSokICkY+G1Fa0lsLpk"</definedName>
    <definedName name="EPMWorkbookOptions_5" hidden="1">"h9h9SZRub9bqL8kyN8CClkXVG/UV0FbVemPJVll61a626gBUSRXQ7FJrsk2NcfccbZUgeKTazhSswcIBy13yn0ToN2MNv8r7zhb7O3nT+OP145yu7alRGHI+11OFIiMfquQTt5/wp+QT4vPPtcKU9nOKz4ihqCbEQrYx4dMh0pzHQ6Ho3cImzynCjSinTBST4iZJsi2STB82qQxhUwVtrd1m29WlpjFVtk61qtqqqVbVxpLR2kydplfLHITN"</definedName>
    <definedName name="EPMWorkbookOptions_6" hidden="1">"AOLRTB2vzLhR0U31PZjM+X6J5QjLfNiXpyWVMBVFmKa6fpVnIjk602eaN0440zNMvc6ybPozPY3fAAnNzSS++FwaLFoyijKimOLn+/nx4h6ncFNxJvMp57sT/LjRpMhWq5nejxn8/PiAMWqvPWVw7mPUE2goqkSTjGYUTI+VaOIOVVrN61bDYIEmP/ERwh0qfzSb0WgwTIbpDBa/4LhjGDVWYQLdmCEbxZ97Q0lFERVuNPdLSi5Ra6EotrSW"</definedName>
    <definedName name="EPMWorkbookOptions_7" hidden="1">"MBV+cO7z+yeplFEwuZtviILpb69LioGZr4TX8YuBb14540vMpYGig3Ernu2FjTiM+3a7hLF3kxJGCEYZ1F7p5huCWqZbrpHEtQZ+cQ3FEklfeC7NFSkXAY5iaLJ+vvl6IpUpNgn7+2AprSUyRTJItU4tzzzyFAKzrNhBEgObOMZAFIvlffG5tFi0ZIbX84k4SbWIPs9QcuTG2dasIfHjFoZ+jObBD778XNosQjS0Ox6dKbhccnwPMud9Cf8V"</definedName>
    <definedName name="EPMWorkbookOptions_8" hidden="1">"MrtrXP3ZhFeG4uRsb1E9YTckHnaTn/iYaTU0kujYxi86ongykC88l+aKlIsk79bwlVDCUEhq7v415yxdgolYSzkgQn3Cz/LoCCSnfArD9duInonmy8+l0SJGI0mlKyN15SzPT0Hjx1kWlBbEj//88X6+6FwaK0oq8k3pv2j9N+vDg9A4cZa1ggVZFf7GZ1X68nJppshQyMU/i+XHZae8+KGXEigMFwR6DI8u6PNYhBaERM75EQWJBjIiyXoJ"</definedName>
    <definedName name="EPMWorkbookOptions_9" hidden="1">"JAqELYHsgYy5CXcjjOHPokPJT7RThuMPDXZZFvgVJDN1EUYNlSapRo1sFN1KUQM523PZa0CYEkgUyNmG/0QgzVrx737NT6TL9PxjNMEOw5V8KN6i4QvPpb0i5XKHx5g3Pz48FrjpTBamH+nEWZYtFSRjDTDuZg/vlbO9jBkFIQnyUOwNz3ZeOUpjLN6WY+1otRSVIr1JrtQhkt5nGtkaVIfS4i9+DW+Mvyy2I4OVBewn0RA3wAheTxDd6NXj"</definedName>
    <definedName name="EPOXY">#REF!</definedName>
    <definedName name="EQ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EQ._NO.">#REF!</definedName>
    <definedName name="eq_list">#REF!</definedName>
    <definedName name="EQ_NAME">#REF!</definedName>
    <definedName name="EQ_NO">#REF!</definedName>
    <definedName name="EQ_SCHED">#REF!</definedName>
    <definedName name="EQ_WT">#REF!</definedName>
    <definedName name="EQEW">#REF!</definedName>
    <definedName name="EQLIST">#REF!</definedName>
    <definedName name="EQPRCOM">#REF!</definedName>
    <definedName name="eqpt" hidden="1">{#N/A,#N/A,TRUE,"COVERSHEET";#N/A,#N/A,TRUE,"LEGEND";#N/A,#N/A,TRUE,"LIST"}</definedName>
    <definedName name="EQSBMNFCTR">#REF!</definedName>
    <definedName name="EQSCUPLFT">#REF!</definedName>
    <definedName name="EQUIPM_GES">#REF!</definedName>
    <definedName name="Equipment">#REF!</definedName>
    <definedName name="Equipment1">#REF!</definedName>
    <definedName name="EquipmentNo">#REF!</definedName>
    <definedName name="EQUITY">#REF!</definedName>
    <definedName name="EQUPLIFT">#REF!</definedName>
    <definedName name="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_1" hidden="1">{#N/A,#N/A,FALSE,"CCTV"}</definedName>
    <definedName name="ERA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ERAY1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ERD" hidden="1">{#N/A,#N/A,TRUE,"Basic";#N/A,#N/A,TRUE,"EXT-TABLE";#N/A,#N/A,TRUE,"STEEL";#N/A,#N/A,TRUE,"INT-Table";#N/A,#N/A,TRUE,"STEEL";#N/A,#N/A,TRUE,"Door"}</definedName>
    <definedName name="Ere_art">#REF!</definedName>
    <definedName name="ERECTION_TRANSFORMER">#REF!</definedName>
    <definedName name="erer" hidden="1">{0,0}</definedName>
    <definedName name="erf" hidden="1">#N/A</definedName>
    <definedName name="erfdg" hidden="1">#REF!</definedName>
    <definedName name="ergf" hidden="1">#REF!</definedName>
    <definedName name="ergt" hidden="1">#REF!,#REF!,#REF!</definedName>
    <definedName name="ERKILIÇ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erref" hidden="1">{#N/A,#N/A,FALSE,"Italy";#N/A,#N/A,FALSE,"Aperol Italy";#N/A,#N/A,FALSE,"Aperol Soda Italy";#N/A,#N/A,FALSE,"Spumanti";#N/A,#N/A,FALSE,"Barbieri Liqueur Italy";#N/A,#N/A,FALSE,"Others Italy"}</definedName>
    <definedName name="ErrName301948010" hidden="1">{0,0,0,0;0,0,0,0;0,0,0,0;0,0,0,0;0,0,0,0;0,0,0,0}</definedName>
    <definedName name="error_check">#REF!</definedName>
    <definedName name="ers" hidden="1">#REF!</definedName>
    <definedName name="er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ertgf" hidden="1">#REF!,#REF!,#REF!,#REF!,#REF!,#REF!</definedName>
    <definedName name="ertt" hidden="1">#REF!</definedName>
    <definedName name="erttvg" hidden="1">#REF!</definedName>
    <definedName name="erwerw" hidden="1">{#VALUE!,#N/A,FALSE,0}</definedName>
    <definedName name="ES">#REF!</definedName>
    <definedName name="ESA">#REF!</definedName>
    <definedName name="Escalation">#REF!</definedName>
    <definedName name="Escalation_CT2">#REF!</definedName>
    <definedName name="Escalation_Rates">#REF!</definedName>
    <definedName name="Eskal">#REF!</definedName>
    <definedName name="ESP">#REF!</definedName>
    <definedName name="ESPESSAMEN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bulk" hidden="1">#REF!</definedName>
    <definedName name="estclab" hidden="1">#REF!</definedName>
    <definedName name="estcntg" hidden="1">#REF!</definedName>
    <definedName name="estcoth" hidden="1">#REF!</definedName>
    <definedName name="estcsup" hidden="1">#REF!</definedName>
    <definedName name="estdes" hidden="1">#REF!</definedName>
    <definedName name="esteng" hidden="1">#REF!</definedName>
    <definedName name="esteqp1" hidden="1">#REF!</definedName>
    <definedName name="estesc" hidden="1">#REF!</definedName>
    <definedName name="estexp" hidden="1">#REF!</definedName>
    <definedName name="estimateb" hidden="1">{#N/A,#N/A,TRUE,"Cover";#N/A,#N/A,TRUE,"Conts";#N/A,#N/A,TRUE,"VOS";#N/A,#N/A,TRUE,"Warrington";#N/A,#N/A,TRUE,"Widnes"}</definedName>
    <definedName name="Estimator">#REF!</definedName>
    <definedName name="estlsum" hidden="1">#REF!</definedName>
    <definedName name="estpm" hidden="1">#REF!</definedName>
    <definedName name="ESTRAD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Estrai_MI">#REF!</definedName>
    <definedName name="ESTRAZIONE">#REF!</definedName>
    <definedName name="eststp" hidden="1">#REF!</definedName>
    <definedName name="esttot" hidden="1">#REF!</definedName>
    <definedName name="ET" hidden="1">{#N/A,#N/A,FALSE,"CCTV"}</definedName>
    <definedName name="ET_1" hidden="1">{#N/A,#N/A,FALSE,"CCTV"}</definedName>
    <definedName name="ETU">#REF!</definedName>
    <definedName name="EU">#REF!</definedName>
    <definedName name="EUR">#REF!</definedName>
    <definedName name="EUR_10.22">#REF!</definedName>
    <definedName name="EUR_11.22">#REF!</definedName>
    <definedName name="EUR_12.22">#REF!</definedName>
    <definedName name="EUR_22">#REF!</definedName>
    <definedName name="EUR_23">#REF!</definedName>
    <definedName name="EUR_24">#REF!</definedName>
    <definedName name="EUR_25">#REF!</definedName>
    <definedName name="EUR_26">#REF!</definedName>
    <definedName name="EUR_27">#REF!</definedName>
    <definedName name="EUR_28">#REF!</definedName>
    <definedName name="EUR_29">#REF!</definedName>
    <definedName name="EUR_NTD">#REF!</definedName>
    <definedName name="EUR_USD">#REF!</definedName>
    <definedName name="Euro">#REF!</definedName>
    <definedName name="EURO1">#REF!</definedName>
    <definedName name="ev.Calculation" hidden="1">-4135</definedName>
    <definedName name="ev.Initialized" hidden="1">FALSE</definedName>
    <definedName name="EVC">#REF!</definedName>
    <definedName name="ew" hidden="1">#REF!</definedName>
    <definedName name="EWQE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QEQ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ewr" hidden="1">#REF!</definedName>
    <definedName name="ewrwer" hidden="1">{#VALUE!,#N/A,FALSE,0}</definedName>
    <definedName name="EX" hidden="1">{#N/A,#N/A,FALSE,"CCTV"}</definedName>
    <definedName name="EX_1" hidden="1">{#N/A,#N/A,FALSE,"CCTV"}</definedName>
    <definedName name="Ex_Rate">NA()</definedName>
    <definedName name="Ex_Rate_1">"$#ССЫЛ!.$E$278:$E$298"</definedName>
    <definedName name="Excel_BuiltIn__FilterDatabase">#REF!</definedName>
    <definedName name="Excel_BuiltIn__FilterDatabase_10">#N/A</definedName>
    <definedName name="Excel_BuiltIn__FilterDatabase_11">#N/A</definedName>
    <definedName name="Excel_BuiltIn__FilterDatabase_12">#N/A</definedName>
    <definedName name="Excel_BuiltIn__FilterDatabase_13">#N/A</definedName>
    <definedName name="Excel_BuiltIn__FilterDatabase_14">#N/A</definedName>
    <definedName name="Excel_BuiltIn__FilterDatabase_15">#N/A</definedName>
    <definedName name="Excel_BuiltIn__FilterDatabase_3">#REF!</definedName>
    <definedName name="Excel_BuiltIn__FilterDatabase_7">#N/A</definedName>
    <definedName name="Excel_BuiltIn__FilterDatabase_8">#N/A</definedName>
    <definedName name="Excel_BuiltIn__FilterDatabase_9">#N/A</definedName>
    <definedName name="Excel_BuiltIn__FilterDatabase_9_10">#N/A</definedName>
    <definedName name="Excel_BuiltIn__FilterDatabase_9_8">#N/A</definedName>
    <definedName name="Excel_BuiltIn__FilterDatabase_9_9">#N/A</definedName>
    <definedName name="Excel_BuiltIn_Criteria_11">#REF!</definedName>
    <definedName name="Excel_BuiltIn_Criteria_13">#REF!</definedName>
    <definedName name="Excel_BuiltIn_Database">#REF!</definedName>
    <definedName name="Excel_BuiltIn_Extract_11">#REF!</definedName>
    <definedName name="Excel_BuiltIn_Extract_12">#REF!</definedName>
    <definedName name="Excel_BuiltIn_Extract_13">#REF!</definedName>
    <definedName name="Excel_BuiltIn_Print_Area">#REF!</definedName>
    <definedName name="Excel_BuiltIn_Print_Area_15">#REF!</definedName>
    <definedName name="Excel_BuiltIn_Print_Area_9_1">#N/A</definedName>
    <definedName name="Excel_BuiltIn_Print_Area_9_10">#N/A</definedName>
    <definedName name="Excel_BuiltIn_Print_Area_9_8">#N/A</definedName>
    <definedName name="Excel_BuiltIn_Print_Area_9_9">#N/A</definedName>
    <definedName name="Excel_BuiltIn_Print_Titles">#REF!</definedName>
    <definedName name="Exceltransport">#REF!</definedName>
    <definedName name="Exceltransport1">#REF!</definedName>
    <definedName name="Exceltransport2">#REF!</definedName>
    <definedName name="Exceltransport3">#REF!</definedName>
    <definedName name="Exceltransport4">#REF!</definedName>
    <definedName name="EXCHRATE">#REF!</definedName>
    <definedName name="Excise_List">NA()</definedName>
    <definedName name="Excise_List_1">"$#ССЫЛ!.$B$405:$B$425"</definedName>
    <definedName name="EXCLUSIONS" hidden="1">#REF!</definedName>
    <definedName name="exel">#REF!</definedName>
    <definedName name="exit">#REF!</definedName>
    <definedName name="exit_program">#REF!</definedName>
    <definedName name="EXP_COST">#REF!</definedName>
    <definedName name="EXP_WELLS">#REF!</definedName>
    <definedName name="EXP_YEAR">#REF!</definedName>
    <definedName name="ExPatOff">#REF!</definedName>
    <definedName name="ExPatOn">#REF!</definedName>
    <definedName name="Exponent">#REF!</definedName>
    <definedName name="Exponent_Eqip_Mat">#REF!</definedName>
    <definedName name="EXPORT_FA_DIR">NA()</definedName>
    <definedName name="EXPORT_FA_DIR_1">"$#ССЫЛ!.$B$1593:$B$1844"</definedName>
    <definedName name="Export_Quota_Correction">"$#ССЫЛ!.$B$3:$B$23"</definedName>
    <definedName name="Export_Quota_Correction_1">"$#ССЫЛ!.$B$3:$B$23"</definedName>
    <definedName name="exrate1">"$#ССЫЛ!.$D$4"</definedName>
    <definedName name="exrate1_1">NA()</definedName>
    <definedName name="exrate2">"$#ССЫЛ!.$D$5"</definedName>
    <definedName name="exrate2_1">NA()</definedName>
    <definedName name="exrate3">"$#ССЫЛ!.$D$6"</definedName>
    <definedName name="exrate3_1">NA()</definedName>
    <definedName name="exrate4">"$#ССЫЛ!.$D$7"</definedName>
    <definedName name="exrate4_1">NA()</definedName>
    <definedName name="ExterneDaten3">#REF!</definedName>
    <definedName name="EXW">#REF!</definedName>
    <definedName name="eyteyt" hidden="1">{#N/A,#N/A,FALSE,"CCTV"}</definedName>
    <definedName name="F">#REF!</definedName>
    <definedName name="F_2.02">#REF!</definedName>
    <definedName name="F_2.04">#REF!</definedName>
    <definedName name="F_2.05">#REF!</definedName>
    <definedName name="F_2.06">#REF!</definedName>
    <definedName name="f_2.07">#REF!</definedName>
    <definedName name="F_2.08">#REF!</definedName>
    <definedName name="F_2.09">#REF!</definedName>
    <definedName name="F_2.10">#REF!</definedName>
    <definedName name="F_2.11">#REF!</definedName>
    <definedName name="F_2.12">#REF!</definedName>
    <definedName name="F_2.13">#REF!</definedName>
    <definedName name="F_2.14">#REF!</definedName>
    <definedName name="FA">#REF!</definedName>
    <definedName name="FA_SLAV_TN_Quota">NA()</definedName>
    <definedName name="FA_SLAV_TN_Quota_1">"$#ССЫЛ!.$E$897:$E$917"</definedName>
    <definedName name="faasdasdfgsd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AB">#REF!</definedName>
    <definedName name="FAB_EQ_DB">#REF!</definedName>
    <definedName name="FAC_WELLS_FRAC">#REF!</definedName>
    <definedName name="FACTOR">#REF!</definedName>
    <definedName name="fak">1</definedName>
    <definedName name="Faktor">#REF!</definedName>
    <definedName name="FAKTOR_1">#REF!</definedName>
    <definedName name="FAKTOR_2">#REF!</definedName>
    <definedName name="FAKTOR_3">#REF!</definedName>
    <definedName name="FAKTOR_4">#REF!</definedName>
    <definedName name="FAKTOR_5">#REF!</definedName>
    <definedName name="FAKTOR_6">#REF!</definedName>
    <definedName name="Faktor1">#REF!</definedName>
    <definedName name="FAKTOREN">#REF!</definedName>
    <definedName name="Faktormaterial">#REF!</definedName>
    <definedName name="Faltenbalg">#REF!</definedName>
    <definedName name="Farbe">#REF!,#REF!,#REF!,#REF!,#REF!,#REF!,#REF!,#REF!,#REF!,#REF!,#REF!,#REF!,#REF!,#REF!,#REF!,#REF!,#REF!,#REF!,#REF!,#REF!,#REF!,#REF!,#REF!,#REF!,#REF!</definedName>
    <definedName name="Farbe1">#REF!,#REF!,#REF!,#REF!,#REF!,#REF!,#REF!,#REF!,#REF!,#REF!,#REF!,#REF!,#REF!,#REF!</definedName>
    <definedName name="Farbe2">#REF!,#REF!,#REF!,#REF!,#REF!,#REF!,#REF!</definedName>
    <definedName name="Farbe3">#REF!,#REF!,#REF!,#REF!,#REF!,#REF!,#REF!,#REF!,#REF!,#REF!,#REF!,#REF!,#REF!,#REF!,#REF!,#REF!,#REF!,#REF!,#REF!,#REF!,#REF!</definedName>
    <definedName name="Farbe4">#REF!,#REF!,#REF!,#REF!,#REF!</definedName>
    <definedName name="fasfsdfsdfasdfsdfsd" hidden="1">{#N/A,#N/A,TRUE,"Basic";#N/A,#N/A,TRUE,"EXT-TABLE";#N/A,#N/A,TRUE,"STEEL";#N/A,#N/A,TRUE,"INT-Table";#N/A,#N/A,TRUE,"STEEL";#N/A,#N/A,TRUE,"Door"}</definedName>
    <definedName name="fasfsdfsdfasdfsdfsd_1" hidden="1">{#N/A,#N/A,TRUE,"Basic";#N/A,#N/A,TRUE,"EXT-TABLE";#N/A,#N/A,TRUE,"STEEL";#N/A,#N/A,TRUE,"INT-Table";#N/A,#N/A,TRUE,"STEEL";#N/A,#N/A,TRUE,"Door"}</definedName>
    <definedName name="fb_100x5">#REF!</definedName>
    <definedName name="fb_25x3">#REF!</definedName>
    <definedName name="fb_40x5">#REF!</definedName>
    <definedName name="fb_50x6">#REF!</definedName>
    <definedName name="fb_65x10">#REF!</definedName>
    <definedName name="fb_70X5">#REF!</definedName>
    <definedName name="FCode" hidden="1">#REF!</definedName>
    <definedName name="FCST">#REF!</definedName>
    <definedName name="FD_COST_BOE">#REF!</definedName>
    <definedName name="fdd" hidden="1">{"IASBS",#N/A,TRUE,"IAS";"IASPL",#N/A,TRUE,"IAS";"IASNotes",#N/A,TRUE,"IAS";"CFDir - expanded",#N/A,TRUE,"CF DIR"}</definedName>
    <definedName name="fddfhdfhdgh" hidden="1">{#N/A,#N/A,FALSE,"CCTV"}</definedName>
    <definedName name="FDDS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ddsf">#REF!</definedName>
    <definedName name="fdf" hidden="1">{#N/A,#N/A,FALSE,"CCTV"}</definedName>
    <definedName name="FDFDF" hidden="1">{#N/A,#N/A,FALSE,"CCTV"}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gdg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DSA" hidden="1">{#N/A,#N/A,FALSE,"CCTV"}</definedName>
    <definedName name="FDSA_1" hidden="1">{#N/A,#N/A,FALSE,"CCTV"}</definedName>
    <definedName name="fdsg" hidden="1">#REF!</definedName>
    <definedName name="febr2003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FEE" hidden="1">#REF!</definedName>
    <definedName name="Fees.1" hidden="1">{#N/A,#N/A,TRUE,"Cover";#N/A,#N/A,TRUE,"Conts";#N/A,#N/A,TRUE,"VOS";#N/A,#N/A,TRUE,"Warrington";#N/A,#N/A,TRUE,"Widnes"}</definedName>
    <definedName name="fef">#REF!</definedName>
    <definedName name="fer" hidden="1">#REF!</definedName>
    <definedName name="FERTIL">#REF!</definedName>
    <definedName name="ff" hidden="1">{#N/A,#N/A,FALSE,"CCTV"}</definedName>
    <definedName name="FFAG">#REF!</definedName>
    <definedName name="fff" hidden="1">{#N/A,#N/A,FALSE,"Aging Summary";#N/A,#N/A,FALSE,"Ratio Analysis";#N/A,#N/A,FALSE,"Test 120 Day Accts";#N/A,#N/A,FALSE,"Tickmarks"}</definedName>
    <definedName name="ffff" hidden="1">#REF!</definedName>
    <definedName name="ffff1" hidden="1">{#N/A,#N/A,FALSE,"activity"}</definedName>
    <definedName name="fffff" hidden="1">{#N/A,#N/A,TRUE,"Basic";#N/A,#N/A,TRUE,"EXT-TABLE";#N/A,#N/A,TRUE,"STEEL";#N/A,#N/A,TRUE,"INT-Table";#N/A,#N/A,TRUE,"STEEL";#N/A,#N/A,TRUE,"Door"}</definedName>
    <definedName name="fffff_1" hidden="1">{#N/A,#N/A,TRUE,"Basic";#N/A,#N/A,TRUE,"EXT-TABLE";#N/A,#N/A,TRUE,"STEEL";#N/A,#N/A,TRUE,"INT-Table";#N/A,#N/A,TRUE,"STEEL";#N/A,#N/A,TRUE,"Door"}</definedName>
    <definedName name="ffffff" hidden="1">{#N/A,#N/A,FALSE,"CCTV"}</definedName>
    <definedName name="fffffff_q" hidden="1">#REF!</definedName>
    <definedName name="FFR">#REF!</definedName>
    <definedName name="FFUG">#REF!</definedName>
    <definedName name="fg">#REF!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" hidden="1">{#N/A,#N/A,FALSE,"CCTV"}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fgg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gfh" hidden="1">#REF!</definedName>
    <definedName name="FGHH">IF(#REF!="m",INDEX(PipeInfo,MATCH(#REF!,#REF!,),MATCH(#REF!,#REF!,)),0)</definedName>
    <definedName name="fhgjfghfghgf" hidden="1">{#N/A,#N/A,FALSE,"CCTV"}</definedName>
    <definedName name="fhj">#REF!</definedName>
    <definedName name="Field1">#REF!</definedName>
    <definedName name="Field10">#REF!</definedName>
    <definedName name="Field100">#REF!</definedName>
    <definedName name="Field101">#REF!</definedName>
    <definedName name="Field102">#REF!</definedName>
    <definedName name="Field103">#REF!</definedName>
    <definedName name="Field104">#REF!</definedName>
    <definedName name="Field105">#REF!</definedName>
    <definedName name="Field106">#REF!</definedName>
    <definedName name="Field107">#REF!</definedName>
    <definedName name="Field108">#REF!</definedName>
    <definedName name="Field109">#REF!</definedName>
    <definedName name="Field11">#REF!</definedName>
    <definedName name="Field110">#REF!</definedName>
    <definedName name="Field111">#REF!</definedName>
    <definedName name="Field112">#REF!</definedName>
    <definedName name="Field113">#REF!</definedName>
    <definedName name="Field114">#REF!</definedName>
    <definedName name="Field115">#REF!</definedName>
    <definedName name="Field116">#REF!</definedName>
    <definedName name="Field117">#REF!</definedName>
    <definedName name="Field118">#REF!</definedName>
    <definedName name="Field119">#REF!</definedName>
    <definedName name="Field12">#REF!</definedName>
    <definedName name="Field120">#REF!</definedName>
    <definedName name="Field121">#REF!</definedName>
    <definedName name="Field122">#REF!</definedName>
    <definedName name="Field123">#REF!</definedName>
    <definedName name="Field124">#REF!</definedName>
    <definedName name="Field125">#REF!</definedName>
    <definedName name="Field126">#REF!</definedName>
    <definedName name="Field127">#REF!</definedName>
    <definedName name="Field128">#REF!</definedName>
    <definedName name="Field129">#REF!</definedName>
    <definedName name="Field13">#REF!</definedName>
    <definedName name="Field130">#REF!</definedName>
    <definedName name="Field131">#REF!</definedName>
    <definedName name="Field132">#REF!</definedName>
    <definedName name="Field133">#REF!</definedName>
    <definedName name="Field134">#REF!</definedName>
    <definedName name="Field135">#REF!</definedName>
    <definedName name="Field136">#REF!</definedName>
    <definedName name="Field137">#REF!</definedName>
    <definedName name="Field138">#REF!</definedName>
    <definedName name="Field139">#REF!</definedName>
    <definedName name="Field14">#REF!</definedName>
    <definedName name="Field140">#REF!</definedName>
    <definedName name="Field141">#REF!</definedName>
    <definedName name="Field142">#REF!</definedName>
    <definedName name="Field143">#REF!</definedName>
    <definedName name="Field144">#REF!</definedName>
    <definedName name="Field145">#REF!</definedName>
    <definedName name="Field146">#REF!</definedName>
    <definedName name="Field147">#REF!</definedName>
    <definedName name="Field148">#REF!</definedName>
    <definedName name="Field149">#REF!</definedName>
    <definedName name="Field15">#REF!</definedName>
    <definedName name="Field150">#REF!</definedName>
    <definedName name="Field151">#REF!</definedName>
    <definedName name="Field152">#REF!</definedName>
    <definedName name="Field153">#REF!</definedName>
    <definedName name="Field154">#REF!</definedName>
    <definedName name="Field155">#REF!</definedName>
    <definedName name="Field156">#REF!</definedName>
    <definedName name="Field157">#REF!</definedName>
    <definedName name="Field158">#REF!</definedName>
    <definedName name="Field159">#REF!</definedName>
    <definedName name="Field16">#REF!</definedName>
    <definedName name="Field160">#REF!</definedName>
    <definedName name="Field161">#REF!</definedName>
    <definedName name="Field162">#REF!</definedName>
    <definedName name="Field163">#REF!</definedName>
    <definedName name="Field164">#REF!</definedName>
    <definedName name="Field165">#REF!</definedName>
    <definedName name="Field166">#REF!</definedName>
    <definedName name="Field167">#REF!</definedName>
    <definedName name="Field168">#REF!</definedName>
    <definedName name="Field169">#REF!</definedName>
    <definedName name="Field17">#REF!</definedName>
    <definedName name="Field170">#REF!</definedName>
    <definedName name="Field171">#REF!</definedName>
    <definedName name="Field172">#REF!</definedName>
    <definedName name="Field173">#REF!</definedName>
    <definedName name="Field174">#REF!</definedName>
    <definedName name="Field175">#REF!</definedName>
    <definedName name="Field176">#REF!</definedName>
    <definedName name="Field177">#REF!</definedName>
    <definedName name="Field178">#REF!</definedName>
    <definedName name="Field179">#REF!</definedName>
    <definedName name="Field18">#REF!</definedName>
    <definedName name="Field180">#REF!</definedName>
    <definedName name="Field181">#REF!</definedName>
    <definedName name="Field182">#REF!</definedName>
    <definedName name="Field183">#REF!</definedName>
    <definedName name="Field184">#REF!</definedName>
    <definedName name="Field185">#REF!</definedName>
    <definedName name="Field186">#REF!</definedName>
    <definedName name="Field187">#REF!</definedName>
    <definedName name="Field188">#REF!</definedName>
    <definedName name="Field189">#REF!</definedName>
    <definedName name="Field19">#REF!</definedName>
    <definedName name="Field190">#REF!</definedName>
    <definedName name="Field191">#REF!</definedName>
    <definedName name="Field192">#REF!</definedName>
    <definedName name="Field193">#REF!</definedName>
    <definedName name="Field194">#REF!</definedName>
    <definedName name="Field195">#REF!</definedName>
    <definedName name="Field196">#REF!</definedName>
    <definedName name="Field197">#REF!</definedName>
    <definedName name="Field198">#REF!</definedName>
    <definedName name="Field199">#REF!</definedName>
    <definedName name="Field2">#REF!</definedName>
    <definedName name="Field20">#REF!</definedName>
    <definedName name="Field200">#REF!</definedName>
    <definedName name="Field201">#REF!</definedName>
    <definedName name="Field202">#REF!</definedName>
    <definedName name="Field203">#REF!</definedName>
    <definedName name="Field204">#REF!</definedName>
    <definedName name="Field205">#REF!</definedName>
    <definedName name="Field206">#REF!</definedName>
    <definedName name="Field207">#REF!</definedName>
    <definedName name="Field208">#REF!</definedName>
    <definedName name="Field209">#REF!</definedName>
    <definedName name="Field21">#REF!</definedName>
    <definedName name="Field210">#REF!</definedName>
    <definedName name="Field211">#REF!</definedName>
    <definedName name="Field212">#REF!</definedName>
    <definedName name="Field213">#REF!</definedName>
    <definedName name="Field214">#REF!</definedName>
    <definedName name="Field215">#REF!</definedName>
    <definedName name="Field216">#REF!</definedName>
    <definedName name="Field217">#REF!</definedName>
    <definedName name="Field218">#REF!</definedName>
    <definedName name="Field219">#REF!</definedName>
    <definedName name="Field22">#REF!</definedName>
    <definedName name="Field220">#REF!</definedName>
    <definedName name="Field221">#REF!</definedName>
    <definedName name="Field222">#REF!</definedName>
    <definedName name="Field223">#REF!</definedName>
    <definedName name="Field224">#REF!</definedName>
    <definedName name="Field225">#REF!</definedName>
    <definedName name="Field226">#REF!</definedName>
    <definedName name="Field227">#REF!</definedName>
    <definedName name="Field228">#REF!</definedName>
    <definedName name="Field229">#REF!</definedName>
    <definedName name="Field23">#REF!</definedName>
    <definedName name="Field230">#REF!</definedName>
    <definedName name="Field231">#REF!</definedName>
    <definedName name="Field232">#REF!</definedName>
    <definedName name="Field233">#REF!</definedName>
    <definedName name="Field234">#REF!</definedName>
    <definedName name="Field235">#REF!</definedName>
    <definedName name="Field236">#REF!</definedName>
    <definedName name="Field237">#REF!</definedName>
    <definedName name="Field238">#REF!</definedName>
    <definedName name="Field239">#REF!</definedName>
    <definedName name="Field24">#REF!</definedName>
    <definedName name="Field240">#REF!</definedName>
    <definedName name="Field241">#REF!</definedName>
    <definedName name="Field242">#REF!</definedName>
    <definedName name="Field243">#REF!</definedName>
    <definedName name="Field244">#REF!</definedName>
    <definedName name="Field245">#REF!</definedName>
    <definedName name="Field246">#REF!</definedName>
    <definedName name="Field247">#REF!</definedName>
    <definedName name="Field248">#REF!</definedName>
    <definedName name="Field249">#REF!</definedName>
    <definedName name="Field25">#REF!</definedName>
    <definedName name="Field250">#REF!</definedName>
    <definedName name="Field251">#REF!</definedName>
    <definedName name="Field252">#REF!</definedName>
    <definedName name="Field253">#REF!</definedName>
    <definedName name="Field254">#REF!</definedName>
    <definedName name="Field255">#REF!</definedName>
    <definedName name="Field256">#REF!</definedName>
    <definedName name="Field257">#REF!</definedName>
    <definedName name="Field258">#REF!</definedName>
    <definedName name="Field259">#REF!</definedName>
    <definedName name="Field26">#REF!</definedName>
    <definedName name="Field260">#REF!</definedName>
    <definedName name="Field261">#REF!</definedName>
    <definedName name="Field262">#REF!</definedName>
    <definedName name="Field263">#REF!</definedName>
    <definedName name="Field264">#REF!</definedName>
    <definedName name="Field265">#REF!</definedName>
    <definedName name="Field266">#REF!</definedName>
    <definedName name="Field267">#REF!</definedName>
    <definedName name="Field268">#REF!</definedName>
    <definedName name="Field269">#REF!</definedName>
    <definedName name="Field27">#REF!</definedName>
    <definedName name="Field270">#REF!</definedName>
    <definedName name="Field271">#REF!</definedName>
    <definedName name="Field272">#REF!</definedName>
    <definedName name="Field273">#REF!</definedName>
    <definedName name="Field274">#REF!</definedName>
    <definedName name="Field275">#REF!</definedName>
    <definedName name="Field276">#REF!</definedName>
    <definedName name="Field277">#REF!</definedName>
    <definedName name="Field278">#REF!</definedName>
    <definedName name="Field279">#REF!</definedName>
    <definedName name="Field28">#REF!</definedName>
    <definedName name="Field280">#REF!</definedName>
    <definedName name="Field281">#REF!</definedName>
    <definedName name="Field282">#REF!</definedName>
    <definedName name="Field283">#REF!</definedName>
    <definedName name="Field284">#REF!</definedName>
    <definedName name="Field285">#REF!</definedName>
    <definedName name="Field286">#REF!</definedName>
    <definedName name="Field287">#REF!</definedName>
    <definedName name="Field288">#REF!</definedName>
    <definedName name="Field289">#REF!</definedName>
    <definedName name="Field29">#REF!</definedName>
    <definedName name="Field290">#REF!</definedName>
    <definedName name="Field291">#REF!</definedName>
    <definedName name="Field292">#REF!</definedName>
    <definedName name="Field293">#REF!</definedName>
    <definedName name="Field294">#REF!</definedName>
    <definedName name="Field295">#REF!</definedName>
    <definedName name="Field296">#REF!</definedName>
    <definedName name="Field297">#REF!</definedName>
    <definedName name="Field298">#REF!</definedName>
    <definedName name="Field299">#REF!</definedName>
    <definedName name="Field3">#REF!</definedName>
    <definedName name="Field30">#REF!</definedName>
    <definedName name="Field300">#REF!</definedName>
    <definedName name="Field301">#REF!</definedName>
    <definedName name="Field302">#REF!</definedName>
    <definedName name="Field303">#REF!</definedName>
    <definedName name="Field304">#REF!</definedName>
    <definedName name="Field305">#REF!</definedName>
    <definedName name="Field306">#REF!</definedName>
    <definedName name="Field307">#REF!</definedName>
    <definedName name="Field308">#REF!</definedName>
    <definedName name="Field309">#REF!</definedName>
    <definedName name="Field31">#REF!</definedName>
    <definedName name="Field310">#REF!</definedName>
    <definedName name="Field311">#REF!</definedName>
    <definedName name="Field312">#REF!</definedName>
    <definedName name="Field313">#REF!</definedName>
    <definedName name="Field314">#REF!</definedName>
    <definedName name="Field315">#REF!</definedName>
    <definedName name="Field316">#REF!</definedName>
    <definedName name="Field317">#REF!</definedName>
    <definedName name="Field318">#REF!</definedName>
    <definedName name="Field319">#REF!</definedName>
    <definedName name="Field32">#REF!</definedName>
    <definedName name="Field320">#REF!</definedName>
    <definedName name="Field321">#REF!</definedName>
    <definedName name="Field322">#REF!</definedName>
    <definedName name="Field323">#REF!</definedName>
    <definedName name="Field324">#REF!</definedName>
    <definedName name="Field325">#REF!</definedName>
    <definedName name="Field326">#REF!</definedName>
    <definedName name="Field327">#REF!</definedName>
    <definedName name="Field328">#REF!</definedName>
    <definedName name="Field329">#REF!</definedName>
    <definedName name="Field33">#REF!</definedName>
    <definedName name="Field330">#REF!</definedName>
    <definedName name="Field331">#REF!</definedName>
    <definedName name="Field332">#REF!</definedName>
    <definedName name="Field333">#REF!</definedName>
    <definedName name="Field334">#REF!</definedName>
    <definedName name="Field335">#REF!</definedName>
    <definedName name="Field336">#REF!</definedName>
    <definedName name="Field337">#REF!</definedName>
    <definedName name="Field338">#REF!</definedName>
    <definedName name="Field339">#REF!</definedName>
    <definedName name="Field34">#REF!</definedName>
    <definedName name="Field340">#REF!</definedName>
    <definedName name="Field341">#REF!</definedName>
    <definedName name="Field342">#REF!</definedName>
    <definedName name="Field343">#REF!</definedName>
    <definedName name="Field344">#REF!</definedName>
    <definedName name="Field345">#REF!</definedName>
    <definedName name="Field346">#REF!</definedName>
    <definedName name="Field347">#REF!</definedName>
    <definedName name="Field348">#REF!</definedName>
    <definedName name="Field349">#REF!</definedName>
    <definedName name="Field35">#REF!</definedName>
    <definedName name="Field350">#REF!</definedName>
    <definedName name="Field351">#REF!</definedName>
    <definedName name="Field352">#REF!</definedName>
    <definedName name="Field353">#REF!</definedName>
    <definedName name="Field354">#REF!</definedName>
    <definedName name="Field355">#REF!</definedName>
    <definedName name="Field356">#REF!</definedName>
    <definedName name="Field357">#REF!</definedName>
    <definedName name="Field358">#REF!</definedName>
    <definedName name="Field359">#REF!</definedName>
    <definedName name="Field36">#REF!</definedName>
    <definedName name="Field360">#REF!</definedName>
    <definedName name="Field361">#REF!</definedName>
    <definedName name="Field362">#REF!</definedName>
    <definedName name="Field363">#REF!</definedName>
    <definedName name="Field364">#REF!</definedName>
    <definedName name="Field365">#REF!</definedName>
    <definedName name="Field366">#REF!</definedName>
    <definedName name="Field367">#REF!</definedName>
    <definedName name="Field368">#REF!</definedName>
    <definedName name="Field369">#REF!</definedName>
    <definedName name="Field37">#REF!</definedName>
    <definedName name="Field370">#REF!</definedName>
    <definedName name="Field371">#REF!</definedName>
    <definedName name="Field372">#REF!</definedName>
    <definedName name="Field373">#REF!</definedName>
    <definedName name="Field374">#REF!</definedName>
    <definedName name="Field375">#REF!</definedName>
    <definedName name="Field376">#REF!</definedName>
    <definedName name="Field377">#REF!</definedName>
    <definedName name="Field378">#REF!</definedName>
    <definedName name="Field379">#REF!</definedName>
    <definedName name="Field38">#REF!</definedName>
    <definedName name="Field380">#REF!</definedName>
    <definedName name="Field381">#REF!</definedName>
    <definedName name="Field382">#REF!</definedName>
    <definedName name="Field383">#REF!</definedName>
    <definedName name="Field384">#REF!</definedName>
    <definedName name="Field385">#REF!</definedName>
    <definedName name="Field386">#REF!</definedName>
    <definedName name="Field387">#REF!</definedName>
    <definedName name="Field388">#REF!</definedName>
    <definedName name="Field389">#REF!</definedName>
    <definedName name="Field39">#REF!</definedName>
    <definedName name="Field390">#REF!</definedName>
    <definedName name="Field391">#REF!</definedName>
    <definedName name="Field392">#REF!</definedName>
    <definedName name="Field393">#REF!</definedName>
    <definedName name="Field394">#REF!</definedName>
    <definedName name="Field395">#REF!</definedName>
    <definedName name="Field396">#REF!</definedName>
    <definedName name="Field397">#REF!</definedName>
    <definedName name="Field398">#REF!</definedName>
    <definedName name="Field399">#REF!</definedName>
    <definedName name="Field4">#REF!</definedName>
    <definedName name="Field40">#REF!</definedName>
    <definedName name="Field400">#REF!</definedName>
    <definedName name="Field401">#REF!</definedName>
    <definedName name="Field402">#REF!</definedName>
    <definedName name="Field403">#REF!</definedName>
    <definedName name="Field404">#REF!</definedName>
    <definedName name="Field405">#REF!</definedName>
    <definedName name="Field406">#REF!</definedName>
    <definedName name="Field407">#REF!</definedName>
    <definedName name="Field408">#REF!</definedName>
    <definedName name="Field409">#REF!</definedName>
    <definedName name="Field41">#REF!</definedName>
    <definedName name="Field410">#REF!</definedName>
    <definedName name="Field411">#REF!</definedName>
    <definedName name="Field412">#REF!</definedName>
    <definedName name="Field413">#REF!</definedName>
    <definedName name="Field414">#REF!</definedName>
    <definedName name="Field415">#REF!</definedName>
    <definedName name="Field416">#REF!</definedName>
    <definedName name="Field417">#REF!</definedName>
    <definedName name="Field418">#REF!</definedName>
    <definedName name="Field419">#REF!</definedName>
    <definedName name="Field42">#REF!</definedName>
    <definedName name="Field420">#REF!</definedName>
    <definedName name="Field421">#REF!</definedName>
    <definedName name="Field422">#REF!</definedName>
    <definedName name="Field423">#REF!</definedName>
    <definedName name="Field424">#REF!</definedName>
    <definedName name="Field425">#REF!</definedName>
    <definedName name="Field426">#REF!</definedName>
    <definedName name="Field427">#REF!</definedName>
    <definedName name="Field428">#REF!</definedName>
    <definedName name="Field429">#REF!</definedName>
    <definedName name="Field43">#REF!</definedName>
    <definedName name="Field430">#REF!</definedName>
    <definedName name="Field431">#REF!</definedName>
    <definedName name="Field432">#REF!</definedName>
    <definedName name="Field433">#REF!</definedName>
    <definedName name="Field434">#REF!</definedName>
    <definedName name="Field435">#REF!</definedName>
    <definedName name="Field436">#REF!</definedName>
    <definedName name="Field437">#REF!</definedName>
    <definedName name="Field438">#REF!</definedName>
    <definedName name="Field439">#REF!</definedName>
    <definedName name="Field44">#REF!</definedName>
    <definedName name="Field440">#REF!</definedName>
    <definedName name="Field441">#REF!</definedName>
    <definedName name="Field442">#REF!</definedName>
    <definedName name="Field443">#REF!</definedName>
    <definedName name="Field444">#REF!</definedName>
    <definedName name="Field445">#REF!</definedName>
    <definedName name="Field446">#REF!</definedName>
    <definedName name="Field447">#REF!</definedName>
    <definedName name="Field448">#REF!</definedName>
    <definedName name="Field449">#REF!</definedName>
    <definedName name="Field45">#REF!</definedName>
    <definedName name="Field450">#REF!</definedName>
    <definedName name="Field451">#REF!</definedName>
    <definedName name="Field452">#REF!</definedName>
    <definedName name="Field453">#REF!</definedName>
    <definedName name="Field454">#REF!</definedName>
    <definedName name="Field455">#REF!</definedName>
    <definedName name="Field456">#REF!</definedName>
    <definedName name="Field457">#REF!</definedName>
    <definedName name="Field458">#REF!</definedName>
    <definedName name="Field459">#REF!</definedName>
    <definedName name="Field46">#REF!</definedName>
    <definedName name="Field460">#REF!</definedName>
    <definedName name="Field461">#REF!</definedName>
    <definedName name="Field462">#REF!</definedName>
    <definedName name="Field463">#REF!</definedName>
    <definedName name="Field464">#REF!</definedName>
    <definedName name="Field465">#REF!</definedName>
    <definedName name="Field466">#REF!</definedName>
    <definedName name="Field467">#REF!</definedName>
    <definedName name="Field468">#REF!</definedName>
    <definedName name="Field469">#REF!</definedName>
    <definedName name="Field47">#REF!</definedName>
    <definedName name="Field470">#REF!</definedName>
    <definedName name="Field471">#REF!</definedName>
    <definedName name="Field472">#REF!</definedName>
    <definedName name="Field473">#REF!</definedName>
    <definedName name="Field474">#REF!</definedName>
    <definedName name="Field475">#REF!</definedName>
    <definedName name="Field476">#REF!</definedName>
    <definedName name="Field477">#REF!</definedName>
    <definedName name="Field478">#REF!</definedName>
    <definedName name="Field479">#REF!</definedName>
    <definedName name="Field48">#REF!</definedName>
    <definedName name="Field480">#REF!</definedName>
    <definedName name="Field481">#REF!</definedName>
    <definedName name="Field482">#REF!</definedName>
    <definedName name="Field483">#REF!</definedName>
    <definedName name="Field484">#REF!</definedName>
    <definedName name="Field485">#REF!</definedName>
    <definedName name="Field486">#REF!</definedName>
    <definedName name="Field487">#REF!</definedName>
    <definedName name="Field488">#REF!</definedName>
    <definedName name="Field489">#REF!</definedName>
    <definedName name="Field49">#REF!</definedName>
    <definedName name="Field490">#REF!</definedName>
    <definedName name="Field491">#REF!</definedName>
    <definedName name="Field492">#REF!</definedName>
    <definedName name="Field493">#REF!</definedName>
    <definedName name="Field494">#REF!</definedName>
    <definedName name="Field495">#REF!</definedName>
    <definedName name="Field496">#REF!</definedName>
    <definedName name="Field497">#REF!</definedName>
    <definedName name="Field498">#REF!</definedName>
    <definedName name="Field499">#REF!</definedName>
    <definedName name="Field5">#REF!</definedName>
    <definedName name="Field50">#REF!</definedName>
    <definedName name="Field500">#REF!</definedName>
    <definedName name="Field501">#REF!</definedName>
    <definedName name="Field502">#REF!</definedName>
    <definedName name="Field503">#REF!</definedName>
    <definedName name="Field504">#REF!</definedName>
    <definedName name="Field505">#REF!</definedName>
    <definedName name="Field506">#REF!</definedName>
    <definedName name="Field507">#REF!</definedName>
    <definedName name="Field508">#REF!</definedName>
    <definedName name="Field509">#REF!</definedName>
    <definedName name="Field51">#REF!</definedName>
    <definedName name="Field510">#REF!</definedName>
    <definedName name="Field511">#REF!</definedName>
    <definedName name="Field512">#REF!</definedName>
    <definedName name="Field513">#REF!</definedName>
    <definedName name="Field514">#REF!</definedName>
    <definedName name="Field515">#REF!</definedName>
    <definedName name="Field516">#REF!</definedName>
    <definedName name="Field517">#REF!</definedName>
    <definedName name="Field518">#REF!</definedName>
    <definedName name="Field519">#REF!</definedName>
    <definedName name="Field52">#REF!</definedName>
    <definedName name="Field520">#REF!</definedName>
    <definedName name="Field521">#REF!</definedName>
    <definedName name="Field522">#REF!</definedName>
    <definedName name="Field523">#REF!</definedName>
    <definedName name="Field524">#REF!</definedName>
    <definedName name="Field525">#REF!</definedName>
    <definedName name="Field526">#REF!</definedName>
    <definedName name="Field527">#REF!</definedName>
    <definedName name="Field528">#REF!</definedName>
    <definedName name="Field529">#REF!</definedName>
    <definedName name="Field53">#REF!</definedName>
    <definedName name="Field530">#REF!</definedName>
    <definedName name="Field531">#REF!</definedName>
    <definedName name="Field532">#REF!</definedName>
    <definedName name="Field533">#REF!</definedName>
    <definedName name="Field534">#REF!</definedName>
    <definedName name="Field535">#REF!</definedName>
    <definedName name="Field536">#REF!</definedName>
    <definedName name="Field537">#REF!</definedName>
    <definedName name="Field538">#REF!</definedName>
    <definedName name="Field539">#REF!</definedName>
    <definedName name="Field54">#REF!</definedName>
    <definedName name="Field540">#REF!</definedName>
    <definedName name="Field541">#REF!</definedName>
    <definedName name="Field542">#REF!</definedName>
    <definedName name="Field543">#REF!</definedName>
    <definedName name="Field544">#REF!</definedName>
    <definedName name="Field545">#REF!</definedName>
    <definedName name="Field546">#REF!</definedName>
    <definedName name="Field547">#REF!</definedName>
    <definedName name="Field548">#REF!</definedName>
    <definedName name="Field549">#REF!</definedName>
    <definedName name="Field55">#REF!</definedName>
    <definedName name="Field550">#REF!</definedName>
    <definedName name="Field551">#REF!</definedName>
    <definedName name="Field552">#REF!</definedName>
    <definedName name="Field553">#REF!</definedName>
    <definedName name="Field554">#REF!</definedName>
    <definedName name="Field555">#REF!</definedName>
    <definedName name="Field556">#REF!</definedName>
    <definedName name="Field557">#REF!</definedName>
    <definedName name="Field558">#REF!</definedName>
    <definedName name="Field559">#REF!</definedName>
    <definedName name="Field56">#REF!</definedName>
    <definedName name="Field560">#REF!</definedName>
    <definedName name="Field561">#REF!</definedName>
    <definedName name="Field562">#REF!</definedName>
    <definedName name="Field563">#REF!</definedName>
    <definedName name="Field564">#REF!</definedName>
    <definedName name="Field565">#REF!</definedName>
    <definedName name="Field566">#REF!</definedName>
    <definedName name="Field567">#REF!</definedName>
    <definedName name="Field568">#REF!</definedName>
    <definedName name="Field569">#REF!</definedName>
    <definedName name="Field57">#REF!</definedName>
    <definedName name="Field570">#REF!</definedName>
    <definedName name="Field571">#REF!</definedName>
    <definedName name="Field572">#REF!</definedName>
    <definedName name="Field573">#REF!</definedName>
    <definedName name="Field574">#REF!</definedName>
    <definedName name="Field575">#REF!</definedName>
    <definedName name="Field576">#REF!</definedName>
    <definedName name="Field577">#REF!</definedName>
    <definedName name="Field578">#REF!</definedName>
    <definedName name="Field579">#REF!</definedName>
    <definedName name="Field58">#REF!</definedName>
    <definedName name="Field580">#REF!</definedName>
    <definedName name="Field581">#REF!</definedName>
    <definedName name="Field582">#REF!</definedName>
    <definedName name="Field583">#REF!</definedName>
    <definedName name="Field584">#REF!</definedName>
    <definedName name="Field585">#REF!</definedName>
    <definedName name="Field586">#REF!</definedName>
    <definedName name="Field587">#REF!</definedName>
    <definedName name="Field588">#REF!</definedName>
    <definedName name="Field589">#REF!</definedName>
    <definedName name="Field59">#REF!</definedName>
    <definedName name="Field590">#REF!</definedName>
    <definedName name="Field591">#REF!</definedName>
    <definedName name="Field592">#REF!</definedName>
    <definedName name="Field593">#REF!</definedName>
    <definedName name="Field594">#REF!</definedName>
    <definedName name="Field595">#REF!</definedName>
    <definedName name="Field596">#REF!</definedName>
    <definedName name="Field597">#REF!</definedName>
    <definedName name="Field598">#REF!</definedName>
    <definedName name="Field599">#REF!</definedName>
    <definedName name="Field6">#REF!</definedName>
    <definedName name="Field60">#REF!</definedName>
    <definedName name="Field600">#REF!</definedName>
    <definedName name="Field601">#REF!</definedName>
    <definedName name="Field602">#REF!</definedName>
    <definedName name="Field603">#REF!</definedName>
    <definedName name="Field604">#REF!</definedName>
    <definedName name="Field605">#REF!</definedName>
    <definedName name="Field606">#REF!</definedName>
    <definedName name="Field607">#REF!</definedName>
    <definedName name="Field608">#REF!</definedName>
    <definedName name="Field609">#REF!</definedName>
    <definedName name="Field61">#REF!</definedName>
    <definedName name="Field610">#REF!</definedName>
    <definedName name="Field611">#REF!</definedName>
    <definedName name="Field612">#REF!</definedName>
    <definedName name="Field613">#REF!</definedName>
    <definedName name="Field614">#REF!</definedName>
    <definedName name="Field615">#REF!</definedName>
    <definedName name="Field616">#REF!</definedName>
    <definedName name="Field617">#REF!</definedName>
    <definedName name="Field618">#REF!</definedName>
    <definedName name="Field619">#REF!</definedName>
    <definedName name="Field62">#REF!</definedName>
    <definedName name="Field620">#REF!</definedName>
    <definedName name="Field621">#REF!</definedName>
    <definedName name="Field622">#REF!</definedName>
    <definedName name="Field623">#REF!</definedName>
    <definedName name="Field624">#REF!</definedName>
    <definedName name="Field625">#REF!</definedName>
    <definedName name="Field626">#REF!</definedName>
    <definedName name="Field627">#REF!</definedName>
    <definedName name="Field628">#REF!</definedName>
    <definedName name="Field629">#REF!</definedName>
    <definedName name="Field63">#REF!</definedName>
    <definedName name="Field630">#REF!</definedName>
    <definedName name="Field631">#REF!</definedName>
    <definedName name="Field632">#REF!</definedName>
    <definedName name="Field633">#REF!</definedName>
    <definedName name="Field634">#REF!</definedName>
    <definedName name="Field635">#REF!</definedName>
    <definedName name="Field636">#REF!</definedName>
    <definedName name="Field637">#REF!</definedName>
    <definedName name="Field638">#REF!</definedName>
    <definedName name="Field639">#REF!</definedName>
    <definedName name="Field64">#REF!</definedName>
    <definedName name="Field640">#REF!</definedName>
    <definedName name="Field641">#REF!</definedName>
    <definedName name="Field642">#REF!</definedName>
    <definedName name="Field643">#REF!</definedName>
    <definedName name="Field644">#REF!</definedName>
    <definedName name="Field645">#REF!</definedName>
    <definedName name="Field646">#REF!</definedName>
    <definedName name="Field647">#REF!</definedName>
    <definedName name="Field648">#REF!</definedName>
    <definedName name="Field649">#REF!</definedName>
    <definedName name="Field65">#REF!</definedName>
    <definedName name="Field650">#REF!</definedName>
    <definedName name="Field651">#REF!</definedName>
    <definedName name="Field652">#REF!</definedName>
    <definedName name="Field653">#REF!</definedName>
    <definedName name="Field654">#REF!</definedName>
    <definedName name="Field655">#REF!</definedName>
    <definedName name="Field656">#REF!</definedName>
    <definedName name="Field657">#REF!</definedName>
    <definedName name="Field658">#REF!</definedName>
    <definedName name="Field659">#REF!</definedName>
    <definedName name="Field66">#REF!</definedName>
    <definedName name="Field660">#REF!</definedName>
    <definedName name="Field661">#REF!</definedName>
    <definedName name="Field662">#REF!</definedName>
    <definedName name="Field663">#REF!</definedName>
    <definedName name="Field664">#REF!</definedName>
    <definedName name="Field665">#REF!</definedName>
    <definedName name="Field666">#REF!</definedName>
    <definedName name="Field67">#REF!</definedName>
    <definedName name="Field68">#REF!</definedName>
    <definedName name="Field69">#REF!</definedName>
    <definedName name="Field7">#REF!</definedName>
    <definedName name="Field70">#REF!</definedName>
    <definedName name="Field71">#REF!</definedName>
    <definedName name="Field72">#REF!</definedName>
    <definedName name="Field73">#REF!</definedName>
    <definedName name="Field74">#REF!</definedName>
    <definedName name="Field75">#REF!</definedName>
    <definedName name="Field76">#REF!</definedName>
    <definedName name="Field77">#REF!</definedName>
    <definedName name="Field78">#REF!</definedName>
    <definedName name="Field79">#REF!</definedName>
    <definedName name="Field8">#REF!</definedName>
    <definedName name="Field80">#REF!</definedName>
    <definedName name="Field81">#REF!</definedName>
    <definedName name="Field82">#REF!</definedName>
    <definedName name="Field83">#REF!</definedName>
    <definedName name="Field84">#REF!</definedName>
    <definedName name="Field85">#REF!</definedName>
    <definedName name="Field86">#REF!</definedName>
    <definedName name="Field87">#REF!</definedName>
    <definedName name="Field88">#REF!</definedName>
    <definedName name="Field89">#REF!</definedName>
    <definedName name="Field9">#REF!</definedName>
    <definedName name="Field90">#REF!</definedName>
    <definedName name="Field91">#REF!</definedName>
    <definedName name="Field92">#REF!</definedName>
    <definedName name="Field93">#REF!</definedName>
    <definedName name="Field94">#REF!</definedName>
    <definedName name="Field95">#REF!</definedName>
    <definedName name="Field96">#REF!</definedName>
    <definedName name="Field964">#REF!</definedName>
    <definedName name="Field965">#REF!</definedName>
    <definedName name="Field966">#REF!</definedName>
    <definedName name="Field967">#REF!</definedName>
    <definedName name="Field968">#REF!</definedName>
    <definedName name="Field969">#REF!</definedName>
    <definedName name="Field97">#REF!</definedName>
    <definedName name="Field972">#REF!</definedName>
    <definedName name="Field976">#REF!</definedName>
    <definedName name="Field977">#REF!</definedName>
    <definedName name="Field978">#REF!</definedName>
    <definedName name="Field98">#REF!</definedName>
    <definedName name="Field99">#REF!</definedName>
    <definedName name="FieldHandFittHB">#REF!</definedName>
    <definedName name="FieldHandFittSB">#REF!</definedName>
    <definedName name="FileLinkedList">#REF!</definedName>
    <definedName name="Filename">#REF!</definedName>
    <definedName name="FileNameFormula">#REF!</definedName>
    <definedName name="FilePath">#REF!</definedName>
    <definedName name="FileRep">#REF!</definedName>
    <definedName name="FILES">#REF!</definedName>
    <definedName name="FilesNone">#REF!</definedName>
    <definedName name="FilesOnly">#REF!</definedName>
    <definedName name="fill_" hidden="1">#REF!</definedName>
    <definedName name="filtragem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LTR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IM">#REF!</definedName>
    <definedName name="FIN">#REF!</definedName>
    <definedName name="Final_yield">#REF!</definedName>
    <definedName name="Finance" hidden="1">{"Valuation_Common",#N/A,FALSE,"Valuation"}</definedName>
    <definedName name="FINANCIAL">#REF!</definedName>
    <definedName name="FIRST_YEAR">#REF!</definedName>
    <definedName name="FIX_OPEX">#REF!</definedName>
    <definedName name="FL">#REF!</definedName>
    <definedName name="FL_1">NA()</definedName>
    <definedName name="FL_UN">#REF!</definedName>
    <definedName name="Flange1">#REF!</definedName>
    <definedName name="Flange2">#REF!</definedName>
    <definedName name="FlangeB">#REF!</definedName>
    <definedName name="FlangeIndexB">#REF!</definedName>
    <definedName name="Flansch1">#REF!</definedName>
    <definedName name="Flansch11">#REF!</definedName>
    <definedName name="Flansch12">#REF!</definedName>
    <definedName name="FLARE_2SP">#REF!</definedName>
    <definedName name="Flare_C_costs">#REF!</definedName>
    <definedName name="Flare_CSP">#REF!</definedName>
    <definedName name="Flare_Detail_Design">#REF!</definedName>
    <definedName name="Flare_EAC_GOST">#REF!</definedName>
    <definedName name="Flare_Inspection">#REF!</definedName>
    <definedName name="Flare_Procurement_Services">#REF!</definedName>
    <definedName name="Flare_Site_Services">#REF!</definedName>
    <definedName name="Flare_Training">#REF!</definedName>
    <definedName name="Flare_Vendor_Reps">#REF!</definedName>
    <definedName name="FLG">#REF!</definedName>
    <definedName name="fll" hidden="1">#REF!</definedName>
    <definedName name="FLOT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Flow_m3_h">#REF!</definedName>
    <definedName name="Fluid_rate">"$#ССЫЛ!.$C$4"</definedName>
    <definedName name="Fluid_rate_1">NA()</definedName>
    <definedName name="fm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o">#REF!</definedName>
    <definedName name="fo_bbl">#REF!</definedName>
    <definedName name="FOB">#REF!</definedName>
    <definedName name="fofo">#REF!,#REF!</definedName>
    <definedName name="Fond_97" hidden="1">{#N/A,#N/A,FALSE,"ZAP_FEB.XLS "}</definedName>
    <definedName name="Fond_97_2" hidden="1">{#N/A,#N/A,FALSE,"ZAP_FEB.XLS "}</definedName>
    <definedName name="FOOTNOTE">#REF!</definedName>
    <definedName name="FOrates">#REF!</definedName>
    <definedName name="Form02">"$#ССЫЛ!.$#ССЫЛ!$#ССЫЛ!:$#ССЫЛ!$#ССЫЛ!"</definedName>
    <definedName name="Form02_1">NA()</definedName>
    <definedName name="FORMING">#REF!</definedName>
    <definedName name="FORMULA">#REF!</definedName>
    <definedName name="Formular">#REF!</definedName>
    <definedName name="FP">#REF!</definedName>
    <definedName name="fqewef" hidden="1">#REF!</definedName>
    <definedName name="Frac_Sold">#REF!</definedName>
    <definedName name="Fracht_Spares">#REF!</definedName>
    <definedName name="fre" hidden="1">#N/A</definedName>
    <definedName name="Freight_and_Spare_Parts">#REF!</definedName>
    <definedName name="FRF">#REF!</definedName>
    <definedName name="FS">#REF!</definedName>
    <definedName name="fsda" hidden="1">{#N/A,#N/A,TRUE,"Basic";#N/A,#N/A,TRUE,"EXT-TABLE";#N/A,#N/A,TRUE,"STEEL";#N/A,#N/A,TRUE,"INT-Table";#N/A,#N/A,TRUE,"STEEL";#N/A,#N/A,TRUE,"Door"}</definedName>
    <definedName name="fsda_1" hidden="1">{#N/A,#N/A,TRUE,"Basic";#N/A,#N/A,TRUE,"EXT-TABLE";#N/A,#N/A,TRUE,"STEEL";#N/A,#N/A,TRUE,"INT-Table";#N/A,#N/A,TRUE,"STEEL";#N/A,#N/A,TRUE,"Door"}</definedName>
    <definedName name="fsdaa" hidden="1">{#N/A,#N/A,TRUE,"Basic";#N/A,#N/A,TRUE,"EXT-TABLE";#N/A,#N/A,TRUE,"STEEL";#N/A,#N/A,TRUE,"INT-Table";#N/A,#N/A,TRUE,"STEEL";#N/A,#N/A,TRUE,"Door"}</definedName>
    <definedName name="F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DFF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fsfkjfksjfksfjksfksjfs" hidden="1">{#N/A,#N/A,TRUE,"Содержание";#N/A,#N/A,TRUE,"Выработка";#N/A,#N/A,TRUE,"Расход"}</definedName>
    <definedName name="fsgsdf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ftrh">#REF!</definedName>
    <definedName name="FuelOil_Excise">NA()</definedName>
    <definedName name="FuelOil_Excise_1">"$#ССЫЛ!.$E$561:$E$581"</definedName>
    <definedName name="FuelOilDemandGrowth">NA()</definedName>
    <definedName name="FuelOilDemandGrowth_1">"$#ССЫЛ!.$E$362:$E$382"</definedName>
    <definedName name="Furniture" hidden="1">{#N/A,#N/A,TRUE,"Basic";#N/A,#N/A,TRUE,"EXT-TABLE";#N/A,#N/A,TRUE,"STEEL";#N/A,#N/A,TRUE,"INT-Table";#N/A,#N/A,TRUE,"STEEL";#N/A,#N/A,TRUE,"Door"}</definedName>
    <definedName name="FV_TL" hidden="1">#N/A</definedName>
    <definedName name="fw" hidden="1">#REF!</definedName>
    <definedName name="fwfewfw" hidden="1">#REF!</definedName>
    <definedName name="fwffw" hidden="1">#REF!</definedName>
    <definedName name="fyColHeading">#REF!</definedName>
    <definedName name="fyCoverDate">#REF!</definedName>
    <definedName name="fz" hidden="1">{#N/A,#N/A,FALSE,"PageGarde";#N/A,#N/A,FALSE,"Notes";#N/A,#N/A,FALSE,"LCE"}</definedName>
    <definedName name="g">#REF!</definedName>
    <definedName name="G_2.02">#REF!</definedName>
    <definedName name="g_2.04">#REF!</definedName>
    <definedName name="G_2.05">#REF!</definedName>
    <definedName name="G_2.06">#REF!</definedName>
    <definedName name="G_2.07">#REF!</definedName>
    <definedName name="G_2.08">#REF!</definedName>
    <definedName name="G_2.09">#REF!</definedName>
    <definedName name="G_2.10">#REF!</definedName>
    <definedName name="G_2.11">#REF!</definedName>
    <definedName name="G_2.12">#REF!</definedName>
    <definedName name="G_2.13">#REF!</definedName>
    <definedName name="G_2.14">#REF!</definedName>
    <definedName name="G_7" hidden="1">#REF!</definedName>
    <definedName name="G_AREA">#REF!</definedName>
    <definedName name="G_AREA2">#REF!</definedName>
    <definedName name="G_GASRES2">#REF!</definedName>
    <definedName name="G_GIP">#REF!</definedName>
    <definedName name="G_Gitter">#REF!</definedName>
    <definedName name="g_NAME" hidden="1">#REF!</definedName>
    <definedName name="G_Stufe">#REF!</definedName>
    <definedName name="G_THICK2">#REF!</definedName>
    <definedName name="GA">#REF!</definedName>
    <definedName name="GAAP_СКGAAPОстатСтоимостьСоц" hidden="1">#REF!</definedName>
    <definedName name="GAAP_СКОС103" hidden="1">#REF!</definedName>
    <definedName name="GAAP_СНДобАктивы" hidden="1">#REF!</definedName>
    <definedName name="GAAP_СНОС105" hidden="1">#REF!</definedName>
    <definedName name="GAAPNGW_СКДобАктивы" hidden="1">#REF!</definedName>
    <definedName name="GAAPNGW_СКОС105" hidden="1">#REF!</definedName>
    <definedName name="GAAPNGW_СНКапвложения" hidden="1">#REF!</definedName>
    <definedName name="GAAPNGW_СНОС107" hidden="1">#REF!</definedName>
    <definedName name="Galvanized_cable_tray__complete_of__special_pieces__elbows__crosses__Tees__etc.__and_fixing_elements___brackets__supports__etc.__Metallic_supports_from_roof__wall_or_metallic_structure_included">#REF!</definedName>
    <definedName name="GAMSFile">#REF!</definedName>
    <definedName name="GAMSInstallDir">#REF!</definedName>
    <definedName name="GAMSParm">#REF!</definedName>
    <definedName name="GAMSSolver">#REF!</definedName>
    <definedName name="GAMSZParm">#REF!</definedName>
    <definedName name="garyneu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u1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ryne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as">#REF!</definedName>
    <definedName name="GAS_ABAN">#REF!</definedName>
    <definedName name="gas_bbl">#REF!</definedName>
    <definedName name="Gas_boe">#REF!</definedName>
    <definedName name="GAS_CAPEX">#REF!</definedName>
    <definedName name="gas_cost_b">#REF!</definedName>
    <definedName name="gas_cost_m1">#REF!</definedName>
    <definedName name="gas_cost_m2">#REF!</definedName>
    <definedName name="Gas_DP_Criteria_A1">#REF!</definedName>
    <definedName name="GAS_DRILL">#REF!</definedName>
    <definedName name="GAS_EA">#REF!</definedName>
    <definedName name="gas_fac_cost">#REF!</definedName>
    <definedName name="GAS_FAC_RATE">#REF!</definedName>
    <definedName name="GAS_FAC_WELL">#REF!</definedName>
    <definedName name="GAS_FL">#REF!</definedName>
    <definedName name="GAS_IRR">#REF!</definedName>
    <definedName name="gas_mark_lf_c">#REF!</definedName>
    <definedName name="GAS_MARK_Q">#REF!</definedName>
    <definedName name="gas_mark_q_c">#REF!</definedName>
    <definedName name="GAS_MAX_Q">#REF!</definedName>
    <definedName name="GAS_NCF">#REF!</definedName>
    <definedName name="GAS_NPCapex">#REF!</definedName>
    <definedName name="GAS_NPV">#REF!</definedName>
    <definedName name="GAS_OPEX_1">#REF!</definedName>
    <definedName name="GAS_OPEX_1_BBL">#REF!</definedName>
    <definedName name="GAS_PLATC">#REF!</definedName>
    <definedName name="GAS_PLATG">#REF!</definedName>
    <definedName name="GAS_PLATY">#REF!</definedName>
    <definedName name="GAS_PRICE">#REF!</definedName>
    <definedName name="GAS_PRICE_1">#REF!</definedName>
    <definedName name="GAS_PRICE_INDEX">#REF!</definedName>
    <definedName name="GAS_PRICE_TABLE">#REF!</definedName>
    <definedName name="GAS_PRO_SHAPE">#REF!</definedName>
    <definedName name="GAS_RESERVES">#REF!</definedName>
    <definedName name="Gas_ro_v2_max_Criteria_A1">#REF!</definedName>
    <definedName name="GAS_RPY">#REF!</definedName>
    <definedName name="GAS_SALES_GAS">#REF!</definedName>
    <definedName name="Gas_Sold">#REF!</definedName>
    <definedName name="GAS_TARRIF">#REF!</definedName>
    <definedName name="gas_thru_cost">#REF!</definedName>
    <definedName name="GAS_TYPE_2">#REF!</definedName>
    <definedName name="GAS_Y_PLAT">#REF!</definedName>
    <definedName name="GAS_YTP">#REF!</definedName>
    <definedName name="gbp">1.4664</definedName>
    <definedName name="GBP_NTD">#REF!</definedName>
    <definedName name="GBP_USD">#REF!</definedName>
    <definedName name="GdConstriction">#REF!</definedName>
    <definedName name="GdDischargeType">#REF!</definedName>
    <definedName name="GdDist">#REF!</definedName>
    <definedName name="GdDistDrainHole">#REF!</definedName>
    <definedName name="GdDistFunnels">#REF!</definedName>
    <definedName name="GdDistHead">#REF!</definedName>
    <definedName name="GdDistHeadMin">#REF!</definedName>
    <definedName name="GdDistText1">#REF!</definedName>
    <definedName name="GdDistTol">#REF!</definedName>
    <definedName name="GdDistType">#REF!</definedName>
    <definedName name="GdDrip">#REF!</definedName>
    <definedName name="GdDripDiam">#REF!</definedName>
    <definedName name="GdDripHHole">#REF!</definedName>
    <definedName name="GdDripHHoleD">#REF!</definedName>
    <definedName name="GdDripHHoleH">#REF!</definedName>
    <definedName name="GdDripHoleD">#REF!</definedName>
    <definedName name="GdDripLHoleD">#REF!</definedName>
    <definedName name="GdDripLHoleH">#REF!</definedName>
    <definedName name="GdDripPointDens">#REF!</definedName>
    <definedName name="GdDripSH">#REF!</definedName>
    <definedName name="GdDripStrainer">#REF!</definedName>
    <definedName name="GdDripSW">#REF!</definedName>
    <definedName name="GdDripTopNH">#REF!</definedName>
    <definedName name="GdDripTopNW">#REF!</definedName>
    <definedName name="GdDripTubeHA">#REF!</definedName>
    <definedName name="GdDripTubeHB">#REF!</definedName>
    <definedName name="GD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F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dGuidepipes">#REF!</definedName>
    <definedName name="GdGuidepipesDia">#REF!</definedName>
    <definedName name="GdGuidepipesYN">#REF!</definedName>
    <definedName name="GdHeaderD">#REF!</definedName>
    <definedName name="GdHeaderSD">#REF!</definedName>
    <definedName name="GdLiqRate">#REF!</definedName>
    <definedName name="GdMaxLiqRate">#REF!</definedName>
    <definedName name="GdMinLiqRate">#REF!</definedName>
    <definedName name="GdPackingNo">#REF!</definedName>
    <definedName name="GdPerfType">#REF!</definedName>
    <definedName name="GdPredist">#REF!</definedName>
    <definedName name="GdPredistTesting">#REF!</definedName>
    <definedName name="GdPredistType">#REF!</definedName>
    <definedName name="gdsf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GdSurfTens">#REF!</definedName>
    <definedName name="GdText1">#REF!</definedName>
    <definedName name="GdVisc">#REF!</definedName>
    <definedName name="GEOG_SPLIT" hidden="1">#REF!</definedName>
    <definedName name="Geraetebereich">#REF!</definedName>
    <definedName name="Geräte___Tätigkeiten">#REF!</definedName>
    <definedName name="GES_PREIS">#REF!</definedName>
    <definedName name="gew" hidden="1">#REF!</definedName>
    <definedName name="gf" hidden="1">#N/A</definedName>
    <definedName name="GFDG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D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" hidden="1">{#N/A,#N/A,FALSE,"CCTV"}</definedName>
    <definedName name="GFDS_1" hidden="1">{#N/A,#N/A,FALSE,"CCTV"}</definedName>
    <definedName name="gfdsgsghj" hidden="1">#REF!</definedName>
    <definedName name="GFG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g" hidden="1">{0,0}</definedName>
    <definedName name="gfghhjg" hidden="1">#REF!</definedName>
    <definedName name="gfhg">#REF!</definedName>
    <definedName name="gfhtr56y65" hidden="1">#REF!</definedName>
    <definedName name="gfjgfh" hidden="1">{#N/A,#N/A,FALSE,"CCTV"}</definedName>
    <definedName name="gfjgfhfg" hidden="1">{#N/A,#N/A,FALSE,"CCTV"}</definedName>
    <definedName name="gg">"$#ССЫЛ!.$C$17"</definedName>
    <definedName name="gg_1">NA()</definedName>
    <definedName name="GG_2">#REF!</definedName>
    <definedName name="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g" hidden="1">#REF!</definedName>
    <definedName name="gggggg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ggggggggggg" hidden="1">#REF!</definedName>
    <definedName name="ggggggggggggg" hidden="1">#REF!</definedName>
    <definedName name="gggs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gh">#REF!</definedName>
    <definedName name="g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hb" hidden="1">{#N/A,#N/A,FALSE,"ZAP_FEB.XLS "}</definedName>
    <definedName name="ghd" hidden="1">{#N/A,#N/A,FALSE,"Aging Summary";#N/A,#N/A,FALSE,"Ratio Analysis";#N/A,#N/A,FALSE,"Test 120 Day Accts";#N/A,#N/A,FALSE,"Tickmarks"}</definedName>
    <definedName name="GHF" hidden="1">{#N/A,#N/A,FALSE,"ZAP_FEB.XLS "}</definedName>
    <definedName name="ghg" hidden="1">{#N/A,#N/A,FALSE,"Себестоимсть-97"}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hidden="1">#REF!</definedName>
    <definedName name="ghghgh" hidden="1">#REF!</definedName>
    <definedName name="ghh" hidden="1">#REF!</definedName>
    <definedName name="ghhhhhhhhhh" hidden="1">#REF!</definedName>
    <definedName name="ghj" hidden="1">{"План продаж",#N/A,FALSE,"товар"}</definedName>
    <definedName name="ghjh" hidden="1">#REF!</definedName>
    <definedName name="ghjj" hidden="1">#REF!</definedName>
    <definedName name="ghjk8" hidden="1">{"'Sheet1'!$A$1:$G$96","'Sheet1'!$A$1:$H$96"}</definedName>
    <definedName name="ghjytf" hidden="1">{#N/A,#N/A,FALSE,"передел"}</definedName>
    <definedName name="ghkjghku" hidden="1">#REF!</definedName>
    <definedName name="ghyt" hidden="1">{#N/A,#N/A,FALSE,"SUBS";#N/A,#N/A,FALSE,"SUPERS";#N/A,#N/A,FALSE,"FINISHES";#N/A,#N/A,FALSE,"FITTINGS";#N/A,#N/A,FALSE,"SERVICES";#N/A,#N/A,FALSE,"SITEWORKS"}</definedName>
    <definedName name="gk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gkd">#REF!</definedName>
    <definedName name="GLAND" hidden="1">{0,0,0,0;0,0,0,0;0,0,0,0;0,0,0,0;0,0,0,0;0,0,0,0}</definedName>
    <definedName name="gmo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ms_Shell">#REF!</definedName>
    <definedName name="GoBack" localSheetId="0">#REF!</definedName>
    <definedName name="GoBack" localSheetId="2">#REF!</definedName>
    <definedName name="GoBack" localSheetId="1">#REF!</definedName>
    <definedName name="GoBack">#REF!</definedName>
    <definedName name="god">#REF!</definedName>
    <definedName name="GoForm" localSheetId="0">#REF!</definedName>
    <definedName name="GoForm" localSheetId="2">#REF!</definedName>
    <definedName name="GoForm" localSheetId="1">#REF!</definedName>
    <definedName name="GoForm">#REF!</definedName>
    <definedName name="gokhan" hidden="1">#REF!</definedName>
    <definedName name="GoList" localSheetId="0">#REF!</definedName>
    <definedName name="GoList" localSheetId="2">#REF!</definedName>
    <definedName name="GoList" localSheetId="1">#REF!</definedName>
    <definedName name="GoList">#REF!</definedName>
    <definedName name="GOR">"$#ССЫЛ!.$C$12"</definedName>
    <definedName name="GOR_1">NA()</definedName>
    <definedName name="GoSpec" localSheetId="0">#REF!</definedName>
    <definedName name="GoSpec" localSheetId="2">#REF!</definedName>
    <definedName name="GoSpec" localSheetId="1">#REF!</definedName>
    <definedName name="GoSpec">#REF!</definedName>
    <definedName name="GoTop" localSheetId="0">#REF!</definedName>
    <definedName name="GoTop" localSheetId="2">#REF!</definedName>
    <definedName name="GoTop" localSheetId="1">#REF!</definedName>
    <definedName name="GoTop">#REF!</definedName>
    <definedName name="GOVT_TAKE">#REF!</definedName>
    <definedName name="ğp" hidden="1">{#N/A,#N/A,TRUE,"Sales Comparison";#N/A,#N/A,TRUE,"Cum. Summary FFR";#N/A,#N/A,TRUE,"Monthly Summary FFR";#N/A,#N/A,TRUE,"Cum. Summary TL";#N/A,#N/A,TRUE,"Monthly Summary TL"}</definedName>
    <definedName name="GParm1">#REF!</definedName>
    <definedName name="GParm10">#REF!</definedName>
    <definedName name="GParm11">#REF!</definedName>
    <definedName name="GParm2">#REF!</definedName>
    <definedName name="GParm3">#REF!</definedName>
    <definedName name="GParm4">#REF!</definedName>
    <definedName name="GParm5">#REF!</definedName>
    <definedName name="GParm6">#REF!</definedName>
    <definedName name="GParm7">#REF!</definedName>
    <definedName name="GParm8">#REF!</definedName>
    <definedName name="GParm9">#REF!</definedName>
    <definedName name="GPT_GROUNDING_PT">#REF!</definedName>
    <definedName name="GraphArangYield">#REF!</definedName>
    <definedName name="GraphAreaVsDepth">#REF!</definedName>
    <definedName name="GraphCrossPlot">#REF!</definedName>
    <definedName name="GraphCumulativeProbabilityPlot">#REF!</definedName>
    <definedName name="GraphPoreVolume">#REF!</definedName>
    <definedName name="GraphProbabilityCalculator">#REF!</definedName>
    <definedName name="GraphProfileShapes">#REF!</definedName>
    <definedName name="GraphRates">#REF!</definedName>
    <definedName name="GraphSensativityPlot">#REF!</definedName>
    <definedName name="GraphStandardYield">#REF!</definedName>
    <definedName name="GROSS_GAS_PLATG">#REF!</definedName>
    <definedName name="Group">#REF!</definedName>
    <definedName name="group_capacity">NA()</definedName>
    <definedName name="group_capacity_1">"$#ССЫЛ!.$C$3:$C$2163"</definedName>
    <definedName name="GRV">#REF!</definedName>
    <definedName name="GRV_2">#REF!</definedName>
    <definedName name="GS">#REF!</definedName>
    <definedName name="gt" hidden="1">{#N/A,#N/A,FALSE,"ihz. icmal";#N/A,#N/A,FALSE,"avans";#N/A,#N/A,FALSE,"mal_FF_icm";#N/A,#N/A,FALSE,"fat_ihz";#N/A,#N/A,FALSE,"söz_fiy_fark";#N/A,#N/A,FALSE,"kap2"}</definedName>
    <definedName name="gta">{0;0;0;0;1;1;0.25;0.25;0.25;0.25;2;FALSE;FALSE;FALSE;FALSE;FALSE;#N/A;1;#N/A;1;1;"";""}</definedName>
    <definedName name="gtrhfr">#REF!</definedName>
    <definedName name="Guide">#REF!</definedName>
    <definedName name="gujfdjfdj" hidden="1">{"print95",#N/A,FALSE,"1995E.XLS";"print96",#N/A,FALSE,"1996E.XLS"}</definedName>
    <definedName name="gutter_2mm">#REF!</definedName>
    <definedName name="GUUU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GV" hidden="1">{#N/A,#N/A,FALSE,"CCTV"}</definedName>
    <definedName name="gy3654yhu76ik" hidden="1">#REF!</definedName>
    <definedName name="h">#REF!</definedName>
    <definedName name="h_80_07">NA()</definedName>
    <definedName name="h_80_07_1">NA()</definedName>
    <definedName name="h_NAME_01" hidden="1">#REF!</definedName>
    <definedName name="h_NAME_02" hidden="1">#REF!</definedName>
    <definedName name="h_NAME_03" hidden="1">#REF!</definedName>
    <definedName name="h_NAME_04" hidden="1">#REF!</definedName>
    <definedName name="h_NAME_05" hidden="1">#REF!</definedName>
    <definedName name="h_NAME_06" hidden="1">#REF!</definedName>
    <definedName name="h_NAME_07" hidden="1">#REF!</definedName>
    <definedName name="h_NAME_08" hidden="1">#REF!</definedName>
    <definedName name="h_NAME_09" hidden="1">#REF!</definedName>
    <definedName name="h_NAME_10" hidden="1">#REF!</definedName>
    <definedName name="h_NAME_11" hidden="1">#REF!</definedName>
    <definedName name="h_NAME_12" hidden="1">#REF!</definedName>
    <definedName name="h_NAME_13" hidden="1">#REF!</definedName>
    <definedName name="h_NAME_14" hidden="1">#REF!</definedName>
    <definedName name="h_NAME_15" hidden="1">#REF!</definedName>
    <definedName name="h_NAME_16" hidden="1">#REF!</definedName>
    <definedName name="h_NAME_17" hidden="1">#REF!</definedName>
    <definedName name="h_NAME_18" hidden="1">#REF!</definedName>
    <definedName name="h_NAME_19" hidden="1">#REF!</definedName>
    <definedName name="h_NAME_20" hidden="1">#REF!</definedName>
    <definedName name="H2O_air">#REF!</definedName>
    <definedName name="H2S_2">#REF!</definedName>
    <definedName name="HA">#REF!</definedName>
    <definedName name="handrail_pipe">#REF!</definedName>
    <definedName name="HanEreFabSpoHB">#REF!</definedName>
    <definedName name="HanEreFabSpoSB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apSKW">#REF!</definedName>
    <definedName name="HCFA_FLAG">#REF!</definedName>
    <definedName name="HCU1_FilterDatabase" hidden="1">#REF!</definedName>
    <definedName name="HD31hd500">#REF!</definedName>
    <definedName name="Hdcb">#REF!</definedName>
    <definedName name="Hdcbtwo">#REF!</definedName>
    <definedName name="Hdcc">#REF!</definedName>
    <definedName name="Hdccmid">#REF!</definedName>
    <definedName name="Hdcctwo">#REF!</definedName>
    <definedName name="HDct">#REF!</definedName>
    <definedName name="Hdcttwo">#REF!</definedName>
    <definedName name="HEA600_260">#REF!</definedName>
    <definedName name="HEA600_B280">#REF!</definedName>
    <definedName name="Header_Row">ROW(#REF!)</definedName>
    <definedName name="Header1" hidden="1">IF(COUNTA(#REF!)=0,0,INDEX(#REF!,MATCH(ROW(#REF!),#REF!,TRUE)))+1</definedName>
    <definedName name="Header2" hidden="1">#REF!-1 &amp; "." &amp; MAX(1,COUNTA(INDEX(#REF!,MATCH(#REF!-1,#REF!,FALSE)):#REF!))</definedName>
    <definedName name="HeaderObj">#REF!</definedName>
    <definedName name="HEIGHT">#REF!+#REF!+#REF!+#REF!</definedName>
    <definedName name="HE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ersteller">#REF!</definedName>
    <definedName name="HFAG">#REF!</definedName>
    <definedName name="hfdgfdg" hidden="1">{#N/A,#N/A,FALSE,"CCTV"}</definedName>
    <definedName name="hfjhhjj" hidden="1">{#N/A,#N/A,FALSE,"CCTV"}</definedName>
    <definedName name="HFPR">#REF!</definedName>
    <definedName name="HFUG">#REF!</definedName>
    <definedName name="hg" hidden="1">#N/A</definedName>
    <definedName name="hgdr" hidden="1">#REF!</definedName>
    <definedName name="hgjfgh" hidden="1">{#N/A,#N/A,FALSE,"CCTV"}</definedName>
    <definedName name="hgjgfhgh" hidden="1">{#N/A,#N/A,FALSE,"CCTV"}</definedName>
    <definedName name="HH" hidden="1">{#N/A,#N/A,FALSE,"ihz. icmal";#N/A,#N/A,FALSE,"avans";#N/A,#N/A,FALSE,"mal_FF_icm";#N/A,#N/A,FALSE,"fat_ihz";#N/A,#N/A,FALSE,"söz_fiy_fark";#N/A,#N/A,FALSE,"kap2"}</definedName>
    <definedName name="HHE">#REF!</definedName>
    <definedName name="HHH" hidden="1">{#N/A,#N/A,FALSE,"CCTV"}</definedName>
    <definedName name="HHHH" hidden="1">{#N/A,#N/A,FALSE,"ZAP_FEB.XLS "}</definedName>
    <definedName name="HHHHH" hidden="1">#REF!,#REF!,#REF!</definedName>
    <definedName name="hhhhhhhhhhhhh" hidden="1">#REF!</definedName>
    <definedName name="HHJJK" hidden="1">#REF!</definedName>
    <definedName name="HI">"Oval 139"</definedName>
    <definedName name="HiddenRows" hidden="1">#REF!</definedName>
    <definedName name="HighOctane_Excise">NA()</definedName>
    <definedName name="HighOctane_Excise_1">"$#ССЫЛ!.$E$498:$E$518"</definedName>
    <definedName name="HighOctaneDemandGrowth">NA()</definedName>
    <definedName name="HighOctaneDemandGrowth_1">"$#ССЫЛ!.$E$299:$E$319"</definedName>
    <definedName name="hik" hidden="1">{#N/A,#N/A,FALSE,"TABLE"}</definedName>
    <definedName name="Hilfe1">#REF!</definedName>
    <definedName name="Hilfe2">#REF!</definedName>
    <definedName name="Hilfe3">#REF!</definedName>
    <definedName name="Hilfe4">#REF!</definedName>
    <definedName name="Hilfe5">#REF!</definedName>
    <definedName name="Hilfezurück">#REF!</definedName>
    <definedName name="hı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HISTO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Historange">#REF!</definedName>
    <definedName name="History">#REF!</definedName>
    <definedName name="hj" hidden="1">{#N/A,#N/A,FALSE,"ZAP_FEB.XLS "}</definedName>
    <definedName name="hjhjhjhjhjh" hidden="1">{#N/A,#N/A,TRUE,"Содержание";#N/A,#N/A,TRUE,"Выработка";#N/A,#N/A,TRUE,"Расход"}</definedName>
    <definedName name="hjhjhjhjhjhjhjhj" hidden="1">{#N/A,#N/A,FALSE,"OVERVIEW 98";#N/A,#N/A,FALSE,"PMD 98  to 2000";#N/A,#N/A,FALSE,"SMD 98 to 2000";#N/A,#N/A,FALSE,"Facilities98";#N/A,#N/A,FALSE,"Quality"}</definedName>
    <definedName name="hjk" hidden="1">{#N/A,#N/A,TRUE,"Буржуям"}</definedName>
    <definedName name="hjr" hidden="1">{"Товар.выработка без продаж",#N/A,FALSE,"товар"}</definedName>
    <definedName name="hk">0.925</definedName>
    <definedName name="HKD">#REF!</definedName>
    <definedName name="hkjhkj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Hl">#REF!</definedName>
    <definedName name="Hlmid">#REF!</definedName>
    <definedName name="Hltwo">#REF!</definedName>
    <definedName name="hn.Delete015" hidden="1">#N/A</definedName>
    <definedName name="hn.ModelVersion" hidden="1">1</definedName>
    <definedName name="hn.NoUpload" hidden="1">0</definedName>
    <definedName name="ho" hidden="1">{#N/A,#N/A,FALSE,"TABLE"}</definedName>
    <definedName name="hochq1">1.5</definedName>
    <definedName name="hochq3">0.5</definedName>
    <definedName name="HOME_MANP">#REF!</definedName>
    <definedName name="HOMEOFFICE_COST">#REF!</definedName>
    <definedName name="homr">#REF!</definedName>
    <definedName name="HOrates">#REF!</definedName>
    <definedName name="hot_fouling">#REF!</definedName>
    <definedName name="hot_in">#REF!</definedName>
    <definedName name="hot_name">#REF!</definedName>
    <definedName name="hot_out">#REF!</definedName>
    <definedName name="Hourly_Rates">#REF!</definedName>
    <definedName name="How">#REF!</definedName>
    <definedName name="Howmid">#REF!</definedName>
    <definedName name="Howtwo">#REF!</definedName>
    <definedName name="Hrs_Rate">#REF!</definedName>
    <definedName name="HrsxMonth">#REF!</definedName>
    <definedName name="hs">#REF!</definedName>
    <definedName name="Hsub">#REF!</definedName>
    <definedName name="Hsubmid">#REF!</definedName>
    <definedName name="Hsubtwo">#REF!</definedName>
    <definedName name="htg">#REF!</definedName>
    <definedName name="hththth" hidden="1">{0,0}</definedName>
    <definedName name="HTML" hidden="1">{"'장비'!$A$3:$M$12"}</definedName>
    <definedName name="HTML_AAA" hidden="1">{"'Sheet1'!$L$16"}</definedName>
    <definedName name="HTML_C" hidden="1">{"'Sheet1'!$A$12:$K$107"}</definedName>
    <definedName name="HTML_C_1" hidden="1">{"'Sheet1'!$A$12:$K$107"}</definedName>
    <definedName name="HTML_CodePage" hidden="1">1252</definedName>
    <definedName name="HTML_Control" hidden="1">{"'Infrastr.'!$A$1:$S$27"}</definedName>
    <definedName name="HTML_Control_1" hidden="1">{"'Sheet1'!$A$1:$E$10"}</definedName>
    <definedName name="HTML_Description" hidden="1">""</definedName>
    <definedName name="HTML_Email" hidden="1">""</definedName>
    <definedName name="HTML_Header" hidden="1">"Infrastr."</definedName>
    <definedName name="HTML_LastUpdate" hidden="1">"02/03/98"</definedName>
    <definedName name="HTML_LineAfter" hidden="1">FALSE</definedName>
    <definedName name="HTML_LineBefore" hidden="1">FALSE</definedName>
    <definedName name="HTML_Name" hidden="1">"Saipem"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"C:\Documenti\Databook\Databook Html\Tabella105.htm"</definedName>
    <definedName name="HTML_PathFileMac" hidden="1">"Macintosh HD:Web Site “~adamodar”:pc:datasets:MyHTML.html"</definedName>
    <definedName name="HTML_PathTemplate" hidden="1">"C:\1_Daten\Frankys\HTML'S\Frank\oil_site.htm"</definedName>
    <definedName name="HTML_Title" hidden="1">"Income Statement by Destination"</definedName>
    <definedName name="HTML1_1" hidden="1">"'[Financials V2.01 Sub Sales Excite 4.xls]Income Statement'!$B$1:$AA$38"</definedName>
    <definedName name="HTML1_10" hidden="1">""</definedName>
    <definedName name="HTML1_11" hidden="1">1</definedName>
    <definedName name="HTML1_12" hidden="1">"C:\My Documents\Financials_01.htm"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"Financials V.1.0.2"</definedName>
    <definedName name="HTML1_4" hidden="1">"Income Statement"</definedName>
    <definedName name="HTML1_5" hidden="1">""</definedName>
    <definedName name="HTML1_6" hidden="1">-4146</definedName>
    <definedName name="HTML1_7" hidden="1">-4146</definedName>
    <definedName name="HTML1_8" hidden="1">"8/22/98"</definedName>
    <definedName name="HTML1_9" hidden="1">"Bill Nguyen"</definedName>
    <definedName name="HTML2_1" hidden="1">"'[Financials V2.01 Sub Sales Excite 4.xls]Income Statement'!$B$10:$AA$38"</definedName>
    <definedName name="HTML2_10" hidden="1">""</definedName>
    <definedName name="HTML2_11" hidden="1">1</definedName>
    <definedName name="HTML2_12" hidden="1">"C:\My Documents\financials.html"</definedName>
    <definedName name="HTML2_13" hidden="1">#N/A</definedName>
    <definedName name="HTML2_14" hidden="1">#N/A</definedName>
    <definedName name="HTML2_15" hidden="1">#N/A</definedName>
    <definedName name="HTML2_2" hidden="1">1</definedName>
    <definedName name="HTML2_3" hidden="1">"Financials"</definedName>
    <definedName name="HTML2_4" hidden="1">"Income Statement"</definedName>
    <definedName name="HTML2_5" hidden="1">""</definedName>
    <definedName name="HTML2_6" hidden="1">-4146</definedName>
    <definedName name="HTML2_7" hidden="1">1</definedName>
    <definedName name="HTML2_8" hidden="1">"8/22/98"</definedName>
    <definedName name="HTML2_9" hidden="1">"Bill Nguyen"</definedName>
    <definedName name="HTMLCount" hidden="1">2</definedName>
    <definedName name="huy" hidden="1">{"'Sheet1'!$L$16"}</definedName>
    <definedName name="HVE">#REF!</definedName>
    <definedName name="Hw">#REF!</definedName>
    <definedName name="Hwmid">#REF!</definedName>
    <definedName name="Hwtwo">#REF!</definedName>
    <definedName name="HXnumber">#REF!</definedName>
    <definedName name="i">#REF!</definedName>
    <definedName name="I_ABAN_COST_BOE">#REF!</definedName>
    <definedName name="I_API_DISC">#REF!</definedName>
    <definedName name="I_AT_DH_COST">#REF!</definedName>
    <definedName name="I_AT_EA_COST">#REF!</definedName>
    <definedName name="I_BASE_PRICE_1">#REF!</definedName>
    <definedName name="I_BOE_RES_ECO">#REF!</definedName>
    <definedName name="I_BOE_RESERVES">#REF!</definedName>
    <definedName name="i_Brent">NA()</definedName>
    <definedName name="i_Brent_1">"$#ССЫЛ!.$G$26:$G$46"</definedName>
    <definedName name="i_CAP_Adamow">NA()</definedName>
    <definedName name="i_CAP_Adamow_1">"$#ССЫЛ!.$G$1045:$G$1065"</definedName>
    <definedName name="i_CAP_Butinge">NA()</definedName>
    <definedName name="i_CAP_Butinge_1">"$#ССЫЛ!.$G$1087:$G$1107"</definedName>
    <definedName name="i_CAP_Hungary">NA()</definedName>
    <definedName name="i_CAP_Hungary_1">"$#ССЫЛ!.$G$1066:$G$1086"</definedName>
    <definedName name="i_CAP_Lithuania">NA()</definedName>
    <definedName name="i_CAP_Lithuania_1">"$#ССЫЛ!.$G$1108:$G$1128"</definedName>
    <definedName name="i_CAP_Murmansk">NA()</definedName>
    <definedName name="i_CAP_Murmansk_1">"$#ССЫЛ!.$G$1150:$G$1170"</definedName>
    <definedName name="i_CAP_Nakhodka">NA()</definedName>
    <definedName name="i_CAP_Nakhodka_1">"$#ССЫЛ!.$G$1171:$G$1191"</definedName>
    <definedName name="i_CAP_NOVO">NA()</definedName>
    <definedName name="i_CAP_NOVO_1">"$#ССЫЛ!.$G$940:$G$960"</definedName>
    <definedName name="i_CAP_Odessa">NA()</definedName>
    <definedName name="i_CAP_Odessa_1">"$#ССЫЛ!.$G$1003:$G$1023"</definedName>
    <definedName name="i_CAP_Other">NA()</definedName>
    <definedName name="i_CAP_Other_1">"$#ССЫЛ!.$G$1192:$G$1212"</definedName>
    <definedName name="i_CAP_Primorsk">NA()</definedName>
    <definedName name="i_CAP_Primorsk_1">"$#ССЫЛ!.$G$1024:$G$1044"</definedName>
    <definedName name="i_CAP_Tranzit_FA">NA()</definedName>
    <definedName name="i_CAP_Tranzit_FA_1">"$#ССЫЛ!.$G$1213:$G$1233"</definedName>
    <definedName name="i_CAP_Tuapse">NA()</definedName>
    <definedName name="i_CAP_Tuapse_1">"$#ССЫЛ!.$G$961:$G$981"</definedName>
    <definedName name="i_CAP_Ventspils">NA()</definedName>
    <definedName name="i_CAP_Ventspils_1">"$#ССЫЛ!.$G$982:$G$1002"</definedName>
    <definedName name="i_CAP_Yuzhny">NA()</definedName>
    <definedName name="i_CAP_Yuzhny_1">"$#ССЫЛ!.$G$1129:$G$1149"</definedName>
    <definedName name="i_Condensate_Excise">NA()</definedName>
    <definedName name="i_Condensate_Excise_1">"$#ССЫЛ!.$G$477:$G$497"</definedName>
    <definedName name="I_CONOCO_IRR">#REF!</definedName>
    <definedName name="I_CONOCO_NPC">#REF!</definedName>
    <definedName name="i_CPC_Tariff_Inflation">NA()</definedName>
    <definedName name="i_CPC_Tariff_Inflation_1">"$#ССЫЛ!.$G$257:$G$277"</definedName>
    <definedName name="i_CustomDuties_Crude">NA()</definedName>
    <definedName name="i_CustomDuties_Crude_1">"$#ССЫЛ!.$G$68:$G$88"</definedName>
    <definedName name="i_CustomDuties_Heavy_Products">NA()</definedName>
    <definedName name="i_CustomDuties_Heavy_Products_1">"$#ССЫЛ!.$G$110:$G$130"</definedName>
    <definedName name="i_CustomDuties_Light_Products">NA()</definedName>
    <definedName name="i_CustomDuties_Light_Products_1">"$#ССЫЛ!.$G$89:$G$109"</definedName>
    <definedName name="i_CustomDuties_Products">NA()</definedName>
    <definedName name="i_CustomDuties_Products_1">"$#ССЫЛ!.$G$110:$G$130"</definedName>
    <definedName name="I_DEC_NPV">#REF!</definedName>
    <definedName name="I_DEV_COST_BOE">#REF!</definedName>
    <definedName name="i_Diesel_Excise">NA()</definedName>
    <definedName name="i_Diesel_Excise_1">"$#ССЫЛ!.$G$540:$G$560"</definedName>
    <definedName name="i_DieselDemandGrowth">NA()</definedName>
    <definedName name="i_DieselDemandGrowth_1">"$#ССЫЛ!.$G$341:$G$361"</definedName>
    <definedName name="i_Domestic_Crude_Price">NA()</definedName>
    <definedName name="i_Domestic_Crude_Price_1">"$#ССЫЛ!.$G$131:$G$151"</definedName>
    <definedName name="i_Ex_Rate">NA()</definedName>
    <definedName name="i_Ex_Rate_1">"$#ССЫЛ!.$G$278:$G$298"</definedName>
    <definedName name="i_FuelOil_Excise">NA()</definedName>
    <definedName name="i_FuelOil_Excise_1">"$#ССЫЛ!.$G$561:$G$581"</definedName>
    <definedName name="i_FuelOilDemandGrowth">NA()</definedName>
    <definedName name="i_FuelOilDemandGrowth_1">"$#ССЫЛ!.$G$362:$G$382"</definedName>
    <definedName name="I_GAS_GROSS_NPV">#REF!</definedName>
    <definedName name="I_GAS_PRICE">#REF!</definedName>
    <definedName name="I_GAS_PRICE_1">#REF!</definedName>
    <definedName name="I_GAS_PRICE_TABLE">#REF!</definedName>
    <definedName name="I_GAS_RESERVES">#REF!</definedName>
    <definedName name="i_HighOctane_Excise">NA()</definedName>
    <definedName name="i_HighOctane_Excise_1">"$#ССЫЛ!.$G$498:$G$518"</definedName>
    <definedName name="i_HighOctaneDemandGrowth">NA()</definedName>
    <definedName name="i_HighOctaneDemandGrowth_1">"$#ССЫЛ!.$G$299:$G$319"</definedName>
    <definedName name="i_JetFuelOilDemandGrowth">NA()</definedName>
    <definedName name="i_JetFuelOilDemandGrowth_1">"$#ССЫЛ!.$G$383:$G$403"</definedName>
    <definedName name="i_Kero_Excise">NA()</definedName>
    <definedName name="i_Kero_Excise_1">"$#ССЫЛ!.$G$582:$G$602"</definedName>
    <definedName name="I_L">#REF!</definedName>
    <definedName name="i_Light_Excise">NA()</definedName>
    <definedName name="i_Light_Excise_1">"$#ССЫЛ!.$G$435:$G$455"</definedName>
    <definedName name="i_LowOctane_Excise">NA()</definedName>
    <definedName name="i_LowOctane_Excise_1">"$#ССЫЛ!.$G$519:$G$539"</definedName>
    <definedName name="i_LowOctaneDemandGrowth">NA()</definedName>
    <definedName name="i_LowOctaneDemandGrowth_1">"$#ССЫЛ!.$G$320:$G$340"</definedName>
    <definedName name="I_OIL_PRICE">#REF!</definedName>
    <definedName name="I_OIL_PRICE_TABLE">#REF!</definedName>
    <definedName name="I_OIL_RESERVES">#REF!</definedName>
    <definedName name="I_OPEX_BOE">#REF!</definedName>
    <definedName name="i_Others_Excise">NA()</definedName>
    <definedName name="i_Others_Excise_1">"$#ССЫЛ!.$G$603:$G$623"</definedName>
    <definedName name="I_PEAK_GAS">#REF!</definedName>
    <definedName name="I_PEAK_OIL">#REF!</definedName>
    <definedName name="I_PI">#REF!</definedName>
    <definedName name="i_Production_Tax">NA()</definedName>
    <definedName name="i_Production_Tax_1">"$#ССЫЛ!.$G$152:$G$172"</definedName>
    <definedName name="i_Rail_Improvement">NA()</definedName>
    <definedName name="i_Rail_Improvement_1">"$#ССЫЛ!.$G$792:$G$812"</definedName>
    <definedName name="i_Rail_Tariff_Inflation">NA()</definedName>
    <definedName name="i_Rail_Tariff_Inflation_1">"$#ССЫЛ!.$G$173:$G$193"</definedName>
    <definedName name="i_Refinery_Cost_Inflation">NA()</definedName>
    <definedName name="i_Refinery_Cost_Inflation_1">"$#ССЫЛ!.$G$236:$G$256"</definedName>
    <definedName name="i_Reloading_Inflation">NA()</definedName>
    <definedName name="i_Reloading_Inflation_1">"$#ССЫЛ!.$G$194:$G$214"</definedName>
    <definedName name="I_RES_WELL">#REF!</definedName>
    <definedName name="i_Retail_Prices_Inflation">NA()</definedName>
    <definedName name="i_Retail_Prices_Inflation_1">"$#ССЫЛ!.$#ССЫЛ!$#ССЫЛ!:$#ССЫЛ!$#ССЫЛ!"</definedName>
    <definedName name="I_ROYALTY">#REF!</definedName>
    <definedName name="i_Russia_Crude_Prod_Growth">NA()</definedName>
    <definedName name="i_Russia_Crude_Prod_Growth_1">"$#ССЫЛ!.$G$645:$G$665"</definedName>
    <definedName name="i_Russia_Transneft_Deliveries">NA()</definedName>
    <definedName name="i_Russia_Transneft_Deliveries_1">"$#ССЫЛ!.$G$666:$G$686"</definedName>
    <definedName name="I_SPAC">#REF!</definedName>
    <definedName name="i_TN_NA_Capacity">NA()</definedName>
    <definedName name="i_TN_NA_Capacity_1">"$#ССЫЛ!.$G$708:$G$728"</definedName>
    <definedName name="i_TN_Pipe_Inflation">NA()</definedName>
    <definedName name="i_TN_Pipe_Inflation_1">"$#ССЫЛ!.$G$215:$G$235"</definedName>
    <definedName name="i_TNKBP_TN_Crude_Loss">NA()</definedName>
    <definedName name="i_TNKBP_TN_Crude_Loss_1">"$#ССЫЛ!.$G$624:$G$644"</definedName>
    <definedName name="I_TOTAL_COST_BOE">#REF!</definedName>
    <definedName name="I_TOTAL_WELLS">#REF!</definedName>
    <definedName name="i_Urals_discount">NA()</definedName>
    <definedName name="i_Urals_discount_1">"$#ССЫЛ!.$G$47:$G$67"</definedName>
    <definedName name="i_Urals_Excise">NA()</definedName>
    <definedName name="i_Urals_Excise_1">"$#ССЫЛ!.$G$414:$G$434"</definedName>
    <definedName name="i_Wholesale_Prices_Inflation">NA()</definedName>
    <definedName name="i_Wholesale_Prices_Inflation_1">"$#ССЫЛ!.$#ССЫЛ!$#ССЫЛ!:$#ССЫЛ!$#ССЫЛ!"</definedName>
    <definedName name="i_Zaikinskaya_Excise">NA()</definedName>
    <definedName name="i_Zaikinskaya_Excise_1">"$#ССЫЛ!.$G$456:$G$476"</definedName>
    <definedName name="IA">#REF!</definedName>
    <definedName name="IAS_Lines">#REF!</definedName>
    <definedName name="ID">#REF!</definedName>
    <definedName name="IDID">#REF!</definedName>
    <definedName name="idkb754" hidden="1">{"INST_DPG",#N/A,FALSE,"INST"}</definedName>
    <definedName name="idkb754_1" hidden="1">{"INST_DPG",#N/A,FALSE,"INST"}</definedName>
    <definedName name="IDLAB_COST">#REF!</definedName>
    <definedName name="IDListTF">#REF!</definedName>
    <definedName name="IFF" hidden="1">#REF!,#REF!</definedName>
    <definedName name="iğ" hidden="1">#N/A</definedName>
    <definedName name="ihj" hidden="1">{0,0}</definedName>
    <definedName name="ihji" hidden="1">{0,0}</definedName>
    <definedName name="ihoih" hidden="1">{0,0}</definedName>
    <definedName name="II" hidden="1">{#N/A,#N/A,FALSE,"JACKETS (1100 t) (1)"}</definedName>
    <definedName name="iii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iii_contr" hidden="1">{"'таб 21'!$A$1:$U$24","'таб 21'!$A$1:$U$1"}</definedName>
    <definedName name="iiouolkll" hidden="1">{#N/A,#N/A,FALSE,"CCTV"}</definedName>
    <definedName name="IK" localSheetId="0" hidden="1">Main.SAPF4Help()</definedName>
    <definedName name="IK" localSheetId="2" hidden="1">Main.SAPF4Help()</definedName>
    <definedName name="IK" localSheetId="1" hidden="1">Main.SAPF4Help()</definedName>
    <definedName name="IK" hidden="1">Main.SAPF4Help()</definedName>
    <definedName name="IK_1_EUR_USD">#REF!</definedName>
    <definedName name="IK_2_EUR_USD">#REF!</definedName>
    <definedName name="IK_2_USD">#REF!</definedName>
    <definedName name="IKHH" localSheetId="0" hidden="1">Main.SAPF4Help()</definedName>
    <definedName name="IKHH" localSheetId="2" hidden="1">Main.SAPF4Help()</definedName>
    <definedName name="IKHH" localSheetId="1" hidden="1">Main.SAPF4Help()</definedName>
    <definedName name="IKHH" hidden="1">Main.SAPF4Help()</definedName>
    <definedName name="ıkl" hidden="1">{#N/A,#N/A,FALSE,"ihz. icmal";#N/A,#N/A,FALSE,"avans";#N/A,#N/A,FALSE,"mal_FF_icm";#N/A,#N/A,FALSE,"fat_ihz";#N/A,#N/A,FALSE,"söz_fiy_fark";#N/A,#N/A,FALSE,"kap2"}</definedName>
    <definedName name="Img_ML_1c3d1n6n" hidden="1">"IMG_11"</definedName>
    <definedName name="Img_ML_1t5s6u1f" hidden="1">"IMG_6"</definedName>
    <definedName name="Img_ML_1y7a6c1t" hidden="1">"IMG_11"</definedName>
    <definedName name="Img_ML_2v6s9i5c" hidden="1">"IMG_11"</definedName>
    <definedName name="Img_ML_3b3j3x9k" hidden="1">"IMG_11"</definedName>
    <definedName name="Img_ML_3c6e9c4g" hidden="1">"IMG_12"</definedName>
    <definedName name="Img_ML_3e2q4k7i" hidden="1">"IMG_11"</definedName>
    <definedName name="Img_ML_3h2n3p4v" hidden="1">"IMG_11"</definedName>
    <definedName name="Img_ML_3p5d9q5j" hidden="1">"IMG_11"</definedName>
    <definedName name="Img_ML_3y1j4m2m" hidden="1">"IMG_6"</definedName>
    <definedName name="Img_ML_4m3p5r8j" hidden="1">"IMG_11"</definedName>
    <definedName name="Img_ML_5e7s6t2u" hidden="1">"IMG_11"</definedName>
    <definedName name="Img_ML_5h6q3g8u" hidden="1">"IMG_18"</definedName>
    <definedName name="Img_ML_6f2p1m9g" hidden="1">"IMG_11"</definedName>
    <definedName name="Img_ML_6r9u1n9k" hidden="1">"IMG_11"</definedName>
    <definedName name="Img_ML_6y9f7y3n" hidden="1">"IMG_18"</definedName>
    <definedName name="Img_ML_7m5m4k3b" hidden="1">"IMG_11"</definedName>
    <definedName name="Img_ML_7n6h3t1t" hidden="1">"IMG_11"</definedName>
    <definedName name="Img_ML_8b9j5t1p" hidden="1">"IMG_11"</definedName>
    <definedName name="Img_ML_8c2q5i2r" hidden="1">"IMG_11"</definedName>
    <definedName name="Img_ML_8h3m3i1m" hidden="1">"IMG_11"</definedName>
    <definedName name="Img_ML_8j3w6p4c" hidden="1">"IMG_11"</definedName>
    <definedName name="Img_ML_8r1k8t4y" hidden="1">"IMG_11"</definedName>
    <definedName name="Img_ML_8s3q3c1i" hidden="1">"IMG_11"</definedName>
    <definedName name="Img_ML_9n1s4m5f" hidden="1">"IMG_11"</definedName>
    <definedName name="ImportOnly">#REF!</definedName>
    <definedName name="ın" hidden="1">#N/A</definedName>
    <definedName name="IN_OUT" hidden="1">#REF!</definedName>
    <definedName name="İNCE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income">#REF!</definedName>
    <definedName name="IND_LAB">#REF!</definedName>
    <definedName name="IND_LAB_COST">#REF!</definedName>
    <definedName name="InDevType">#REF!</definedName>
    <definedName name="InDevTypetwo">#REF!</definedName>
    <definedName name="INDEX">#REF!</definedName>
    <definedName name="Index2" hidden="1">{#N/A,#N/A,FALSE,"Aging Summary";#N/A,#N/A,FALSE,"Ratio Analysis";#N/A,#N/A,FALSE,"Test 120 Day Accts";#N/A,#N/A,FALSE,"Tickmarks"}</definedName>
    <definedName name="IndexHB">#REF!</definedName>
    <definedName name="IndexSB">#REF!</definedName>
    <definedName name="INDEXX" hidden="1">#N/A</definedName>
    <definedName name="INDIR_POWER_COST">#REF!</definedName>
    <definedName name="INDIR_POWER_SCH.">#REF!</definedName>
    <definedName name="INDMANP">#REF!</definedName>
    <definedName name="INFLATION">#REF!</definedName>
    <definedName name="INFO_BI_EXE_NAME" hidden="1">"BICPARTNERV11.EXE"</definedName>
    <definedName name="INFO_EXE_SERVER_PATH" hidden="1">"C:\Pastel11\BICPARTNERV11.EXE"</definedName>
    <definedName name="INFO_INSTANCE_ID" hidden="1">"0"</definedName>
    <definedName name="INFO_INSTANCE_NAME" hidden="1">"Management Pack D-2-1 (P v11)_20120206_08_20_04_2020.xls"</definedName>
    <definedName name="INFO_REPORT_CODE" hidden="1">"P10-FI01-2-1"</definedName>
    <definedName name="INFO_REPORT_ID" hidden="1">"2"</definedName>
    <definedName name="INFO_REPORT_NAME" hidden="1">"Management Pack D-2-1 (P v11)"</definedName>
    <definedName name="INFO_RUN_USER" hidden="1">""</definedName>
    <definedName name="INFO_RUN_WORKSTATION" hidden="1">"ALICE-PC"</definedName>
    <definedName name="Inifile">#REF!</definedName>
    <definedName name="init_prog">#REF!</definedName>
    <definedName name="INJVLS">#REF!</definedName>
    <definedName name="INJVREIMB">#REF!</definedName>
    <definedName name="Inlet_liquid_velocity">#REF!</definedName>
    <definedName name="Inlet_liquid_velocitytwo">#REF!</definedName>
    <definedName name="ınnt" hidden="1">{#N/A,#N/A,FALSE,"Aging Summary";#N/A,#N/A,FALSE,"Ratio Analysis";#N/A,#N/A,FALSE,"Test 120 Day Accts";#N/A,#N/A,FALSE,"Tickmarks"}</definedName>
    <definedName name="Input_01GAAPNGWПроизводственные" hidden="1">#REF!</definedName>
    <definedName name="Input_08БУ" hidden="1">#REF!</definedName>
    <definedName name="InputNames">#REF!</definedName>
    <definedName name="INR">#REF!</definedName>
    <definedName name="INRGR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INSEILS">#REF!</definedName>
    <definedName name="INSEIREIMB">#REF!</definedName>
    <definedName name="insert_pg">#REF!</definedName>
    <definedName name="INSP_FEE">#REF!</definedName>
    <definedName name="Installed_With">#REF!</definedName>
    <definedName name="INSTALLSPARE1">#REF!</definedName>
    <definedName name="INSTALLSPARE2">#REF!</definedName>
    <definedName name="INSTALLSPARE3">#REF!</definedName>
    <definedName name="INSTALLSPARE4">#REF!</definedName>
    <definedName name="INSTDOCK">#REF!</definedName>
    <definedName name="INSTE">#REF!</definedName>
    <definedName name="INSTHEX">#REF!</definedName>
    <definedName name="INSTOFF">#REF!</definedName>
    <definedName name="INSTPE">#REF!</definedName>
    <definedName name="instr">#REF!</definedName>
    <definedName name="instr1">#REF!</definedName>
    <definedName name="InstrumentList_ISBL">#REF!</definedName>
    <definedName name="INSURANCE">#REF!</definedName>
    <definedName name="interest">#REF!</definedName>
    <definedName name="Interest_Output">#REF!</definedName>
    <definedName name="Interest_Output_18">#REF!</definedName>
    <definedName name="Interest_Output_22">#REF!</definedName>
    <definedName name="Interest_Output_27">#REF!</definedName>
    <definedName name="Interest_Output_32">#REF!</definedName>
    <definedName name="Interest_Output_36">#REF!</definedName>
    <definedName name="Interest_Rate_18">#REF!</definedName>
    <definedName name="Interest_Rate_20">#REF!</definedName>
    <definedName name="Interest_Rate_22">#REF!</definedName>
    <definedName name="Interest_Rate_24">#REF!</definedName>
    <definedName name="Interest_Rate_27">#REF!</definedName>
    <definedName name="Interest_Rate_30">#REF!</definedName>
    <definedName name="Interest_Rate_32">#REF!</definedName>
    <definedName name="Interest_Rate_34">#REF!</definedName>
    <definedName name="Interest_Rate_36">#REF!</definedName>
    <definedName name="Interest_Rate_Output">#REF!</definedName>
    <definedName name="INTERKOMPANI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INTERNAL_MH">#REF!</definedName>
    <definedName name="INTPBLS">#REF!</definedName>
    <definedName name="INTPBREIMB">#REF!</definedName>
    <definedName name="INTPLS">#REF!</definedName>
    <definedName name="INTPREIMB">#REF!</definedName>
    <definedName name="INTROD">#REF!</definedName>
    <definedName name="invest">#REF!</definedName>
    <definedName name="Investitionsumfang">#REF!</definedName>
    <definedName name="IO">#REF!</definedName>
    <definedName name="IOCosts">#REF!</definedName>
    <definedName name="IOEconomics">#REF!</definedName>
    <definedName name="iohoh" hidden="1">{0,0}</definedName>
    <definedName name="IOInformation">#REF!</definedName>
    <definedName name="IONGPrice">#REF!</definedName>
    <definedName name="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IOReservoir1">#REF!</definedName>
    <definedName name="IOReservoir2">#REF!</definedName>
    <definedName name="IOReservoir3">#REF!</definedName>
    <definedName name="IOReservoir4">#REF!</definedName>
    <definedName name="IOReservoir5">#REF!</definedName>
    <definedName name="IOReservoir6">#REF!</definedName>
    <definedName name="IOReservoir7">#REF!</definedName>
    <definedName name="IOReservoir8">#REF!</definedName>
    <definedName name="IOReservoirPerformance">#REF!</definedName>
    <definedName name="IORolledUpRisk">#REF!</definedName>
    <definedName name="IPB">#REF!</definedName>
    <definedName name="IPIPEL">#REF!</definedName>
    <definedName name="IQ_00G_INT_EARN_ASSETS_7YR_ANN_GROWTH" hidden="1">"c79"</definedName>
    <definedName name="IQ_1_4_CONSTRUCTION_GROSS_LOANS_FFIEC" hidden="1">"c13402"</definedName>
    <definedName name="IQ_1_4_CONSTRUCTION_LL_REC_DOM_FFIEC" hidden="1">"c12899"</definedName>
    <definedName name="IQ_1_4_CONSTRUCTION_LOAN_COMMITMENTS_UNUSED_FFIEC" hidden="1">"c13244"</definedName>
    <definedName name="IQ_1_4_CONSTRUCTION_LOANS_DUE_30_89_FFIEC" hidden="1">"c13257"</definedName>
    <definedName name="IQ_1_4_CONSTRUCTION_LOANS_DUE_90_FFIEC" hidden="1">"c13285"</definedName>
    <definedName name="IQ_1_4_CONSTRUCTION_LOANS_NON_ACCRUAL_FFIEC" hidden="1">"c13311"</definedName>
    <definedName name="IQ_1_4_CONSTRUCTION_RISK_BASED_FFIEC" hidden="1">"c13423"</definedName>
    <definedName name="IQ_1_4_FAMILY_RES_DOM_FFIEC" hidden="1">"c15269"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BS_AFS_AMORT_COST_FFIEC" hidden="1">"c20499"</definedName>
    <definedName name="IQ_ABS_AFS_FAIR_VAL_FFIEC" hidden="1">"c20464"</definedName>
    <definedName name="IQ_ABS_AVAIL_SALE_FFIEC" hidden="1">"c12802"</definedName>
    <definedName name="IQ_ABS_FFIEC" hidden="1">"c12788"</definedName>
    <definedName name="IQ_ABS_HTM_AMORT_COST_FFIEC" hidden="1">"c20447"</definedName>
    <definedName name="IQ_ABS_HTM_FAIR_VAL_FFIEC" hidden="1">"c20482"</definedName>
    <definedName name="IQ_ABS_INVEST_SECURITIES_FFIEC" hidden="1">"c13461"</definedName>
    <definedName name="IQ_ABS_PERIOD" hidden="1">"c13823"</definedName>
    <definedName name="IQ_ACCEPTANCES_OTHER_FOREIGN_BANKS_LL_REC_FFIEC" hidden="1">"c15293"</definedName>
    <definedName name="IQ_ACCEPTANCES_OTHER_US_BANKS_LL_REC_FFIEC" hidden="1">"c15292"</definedName>
    <definedName name="IQ_ACCOUNT_CHANGE" hidden="1">"c1449"</definedName>
    <definedName name="IQ_ACCOUNT_CODE_INTEREST_PENALTIES" hidden="1">"c15741"</definedName>
    <definedName name="IQ_ACCOUNTING_FFIEC" hidden="1">"c13054"</definedName>
    <definedName name="IQ_ACCOUNTING_STANDARD_CIQ_COL" hidden="1">"c11739"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RUED_INTEREST_RECEIVABLE_FFIEC" hidden="1">"c12842"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SITION_COST_SUB" hidden="1">"c15807"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S_NON_ACCRUAL_ASSET_DURING_QTR_FFIEC" hidden="1">"c15349"</definedName>
    <definedName name="IQ_ADJ_AVG_BANK_ASSETS" hidden="1">"c2671"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DVERTISING_MARKETING_EXPENSES_FFIEC" hidden="1">"c13048"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DILUTED" hidden="1">"c16188"</definedName>
    <definedName name="IQ_AFFO_PER_SHARE_BASIC" hidden="1">"c8869"</definedName>
    <definedName name="IQ_AFFO_PER_SHARE_DILUTED" hidden="1">"c8870"</definedName>
    <definedName name="IQ_AFS_INVEST_SECURITIES_FFIEC" hidden="1">"c13456"</definedName>
    <definedName name="IQ_AFS_SECURITIES_TIER_1_FFIEC" hidden="1">"c13343"</definedName>
    <definedName name="IQ_AG_PROD_FARM_LOANS_DOM_QUARTERLY_AVG_FFIEC" hidden="1">"c15477"</definedName>
    <definedName name="IQ_AGENCY" hidden="1">"c8960"</definedName>
    <definedName name="IQ_AGENCY_INVEST_SECURITIES_FFIEC" hidden="1">"c13458"</definedName>
    <definedName name="IQ_AGG_CORPORATE_SHARES" hidden="1">"c13781"</definedName>
    <definedName name="IQ_AGG_CORPORATE_VALUE" hidden="1">"c13774"</definedName>
    <definedName name="IQ_AGG_ESOP_SHARES" hidden="1">"c13782"</definedName>
    <definedName name="IQ_AGG_ESOP_VALUE" hidden="1">"c13775"</definedName>
    <definedName name="IQ_AGG_FOUNDATION_SHARES" hidden="1">"c13783"</definedName>
    <definedName name="IQ_AGG_FOUNDATION_VALUE" hidden="1">"c13776"</definedName>
    <definedName name="IQ_AGG_HEDGEFUND_SHARES" hidden="1">"c13785"</definedName>
    <definedName name="IQ_AGG_HEDGEFUND_VALUE" hidden="1">"c13778"</definedName>
    <definedName name="IQ_AGG_INSIDER_SHARES" hidden="1">"c13780"</definedName>
    <definedName name="IQ_AGG_INSIDER_VALUE" hidden="1">"c13773"</definedName>
    <definedName name="IQ_AGG_INSTITUTIONAL_SHARES" hidden="1">"c13779"</definedName>
    <definedName name="IQ_AGG_INSTITUTIONAL_VALUE" hidden="1">"c13772"</definedName>
    <definedName name="IQ_AGG_OTHER_SHARES" hidden="1">"c13784"</definedName>
    <definedName name="IQ_AGG_OTHER_VALUE" hidden="1">"c13777"</definedName>
    <definedName name="IQ_AGRICULTURAL_GROSS_LOANS_FFIEC" hidden="1">"c13413"</definedName>
    <definedName name="IQ_AGRICULTURAL_LOANS_FOREIGN_FFIEC" hidden="1">"c13481"</definedName>
    <definedName name="IQ_AGRICULTURAL_RISK_BASED_FFIEC" hidden="1">"c13434"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_OTHER_LEASES_CHARGE_OFFS_FFIEC" hidden="1">"c13185"</definedName>
    <definedName name="IQ_ALL_OTHER_LEASES_RECOV_FFIEC" hidden="1">"c13207"</definedName>
    <definedName name="IQ_ALL_OTHER_LOANS_CHARGE_OFFS_FFIEC" hidden="1">"c13183"</definedName>
    <definedName name="IQ_ALL_OTHER_LOANS_RECOV_FFIEC" hidden="1">"c13205"</definedName>
    <definedName name="IQ_ALL_OTHER_TRADING_LIABILITIES_DOM_FFIEC" hidden="1">"c12942"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_LL_LOSSES_FFIEC" hidden="1">"c12810"</definedName>
    <definedName name="IQ_ALLOWABLE_T2_CAPITAL_FFIEC" hidden="1">"c13150"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CREDIT_LOSSES_OFF_BS_FFIEC" hidden="1">"c12871"</definedName>
    <definedName name="IQ_ALLOWANCE_LL_LOSSES_T2_FFIEC" hidden="1">"c13146"</definedName>
    <definedName name="IQ_ALLOWANCE_NON_PERF_LOANS" hidden="1">"c25"</definedName>
    <definedName name="IQ_ALLOWANCE_TOTAL_LOANS" hidden="1">"c26"</definedName>
    <definedName name="IQ_AMORT_EXP_IMPAIRMENT_OTHER_INTANGIBLE_ASSETS_FFIEC" hidden="1">"c13026"</definedName>
    <definedName name="IQ_AMORTIZATION" hidden="1">"c1591"</definedName>
    <definedName name="IQ_AMOUNT_FINANCIAL_LOC_CONVEYED_FFIEC" hidden="1">"c13250"</definedName>
    <definedName name="IQ_AMOUNT_PERFORMANCE_LOC_CONVEYED_FFIEC" hidden="1">"c13252"</definedName>
    <definedName name="IQ_AMT_OUT" hidden="1">"c2145"</definedName>
    <definedName name="IQ_ANALYST_EMAIL" hidden="1">"c13738"</definedName>
    <definedName name="IQ_ANALYST_NAME" hidden="1">"c13736"</definedName>
    <definedName name="IQ_ANALYST_PHONE" hidden="1">"c13737"</definedName>
    <definedName name="IQ_ANALYST_START_DATE" hidden="1">"c13740"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NNUITY_SALES_FEES_COMMISSIONS_FFIEC" hidden="1">"c13007"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PPLICABLE_INCOME_TAXES_FTE_FFIEC" hidden="1">"c13853"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MANAGED_GROWTH_RATE" hidden="1">"c20434"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SUPPLE" hidden="1">"c13812"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FAIR_VALUE" hidden="1">"c13843"</definedName>
    <definedName name="IQ_ASSETS_LEVEL_1" hidden="1">"c13839"</definedName>
    <definedName name="IQ_ASSETS_LEVEL_2" hidden="1">"c13840"</definedName>
    <definedName name="IQ_ASSETS_LEVEL_3" hidden="1">"c13841"</definedName>
    <definedName name="IQ_ASSETS_NAME_AP" hidden="1">"c8921"</definedName>
    <definedName name="IQ_ASSETS_NAME_AP_ABS" hidden="1">"c8940"</definedName>
    <definedName name="IQ_ASSETS_NETTING_OTHER_ADJUSTMENTS" hidden="1">"c13842"</definedName>
    <definedName name="IQ_ASSETS_OPER_LEASE_DEPR" hidden="1">"c2070"</definedName>
    <definedName name="IQ_ASSETS_OPER_LEASE_GROSS" hidden="1">"c2071"</definedName>
    <definedName name="IQ_ASSETS_REPRICE_ASSETS_TOT_FFIEC" hidden="1">"c13454"</definedName>
    <definedName name="IQ_ASSETS_UNDER_ADMINISTRATION" hidden="1">"c20432"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TM_FEES_FFIEC" hidden="1">"c13042"</definedName>
    <definedName name="IQ_ATM_INTERCHANGE_EXPENSES_FFIEC" hidden="1">"c13056"</definedName>
    <definedName name="IQ_AUDITOR_NAME" hidden="1">"c1539"</definedName>
    <definedName name="IQ_AUDITOR_OPINION" hidden="1">"c1540"</definedName>
    <definedName name="IQ_AUM" hidden="1">"c10043"</definedName>
    <definedName name="IQ_AUM_ACQUISITIONS_TRANSFERS" hidden="1">"c20415"</definedName>
    <definedName name="IQ_AUM_AVERAGE" hidden="1">"c20418"</definedName>
    <definedName name="IQ_AUM_BOP" hidden="1">"c20409"</definedName>
    <definedName name="IQ_AUM_CASH_FLOWS_DIVIDENDS" hidden="1">"c20413"</definedName>
    <definedName name="IQ_AUM_DOMESTIC" hidden="1">"c20400"</definedName>
    <definedName name="IQ_AUM_EOP" hidden="1">"c20417"</definedName>
    <definedName name="IQ_AUM_EQUITY_FUNDS" hidden="1">"c10039"</definedName>
    <definedName name="IQ_AUM_FEE_EARNING" hidden="1">"c20402"</definedName>
    <definedName name="IQ_AUM_FIXED_INCOME_FUNDS" hidden="1">"c10040"</definedName>
    <definedName name="IQ_AUM_FOREIGN" hidden="1">"c20401"</definedName>
    <definedName name="IQ_AUM_HIGH_NET_WORTH" hidden="1">"c20398"</definedName>
    <definedName name="IQ_AUM_INFLOWS" hidden="1">"c20410"</definedName>
    <definedName name="IQ_AUM_INSTITUTIONAL" hidden="1">"c20396"</definedName>
    <definedName name="IQ_AUM_INSTITUTIONAL_CUSTOMERS" hidden="1">"c20405"</definedName>
    <definedName name="IQ_AUM_MARKET_APPRECIATION_DEPRECIATION" hidden="1">"c20414"</definedName>
    <definedName name="IQ_AUM_MONEY_MARKET_FUNDS" hidden="1">"c10041"</definedName>
    <definedName name="IQ_AUM_NET_CHANGE" hidden="1">"c20419"</definedName>
    <definedName name="IQ_AUM_NET_INFLOWS_OUTFLOWS" hidden="1">"c20412"</definedName>
    <definedName name="IQ_AUM_NON_FEE_EARNING" hidden="1">"c20403"</definedName>
    <definedName name="IQ_AUM_OTHER" hidden="1">"c10042"</definedName>
    <definedName name="IQ_AUM_OTHER_ADJUSTMENTS" hidden="1">"c20416"</definedName>
    <definedName name="IQ_AUM_OTHER_CLIENTS" hidden="1">"c20399"</definedName>
    <definedName name="IQ_AUM_OTHER_CUSTOMERS" hidden="1">"c20407"</definedName>
    <definedName name="IQ_AUM_OUTFLOWS" hidden="1">"c20411"</definedName>
    <definedName name="IQ_AUM_PRIVATE_EQUITY" hidden="1">"c20394"</definedName>
    <definedName name="IQ_AUM_REAL_ESTATE" hidden="1">"c20395"</definedName>
    <definedName name="IQ_AUM_RETAIL" hidden="1">"c20397"</definedName>
    <definedName name="IQ_AUM_RETAIL_CUSTOMERS" hidden="1">"c20404"</definedName>
    <definedName name="IQ_AUM_SME_CUSTOMERS" hidden="1">"c20406"</definedName>
    <definedName name="IQ_AUM_TOTAL_CUSTOMERS" hidden="1">"c20408"</definedName>
    <definedName name="IQ_AUTO_LOANS_TOTAL_LOANS" hidden="1">"c15713"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SALE_SEC_FFIEC" hidden="1">"c12791"</definedName>
    <definedName name="IQ_AVERAGE_DEPOSITS" hidden="1">"c15256"</definedName>
    <definedName name="IQ_AVERAGE_INTEREST_BEARING_DEPOSITS" hidden="1">"c15254"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" hidden="1">"c4455"</definedName>
    <definedName name="IQ_AVG_INDUSTRY_REC_CIQ_COL" hidden="1">"c11631"</definedName>
    <definedName name="IQ_AVG_INDUSTRY_REC_NO_CIQ_COL" hidden="1">"c11630"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REV_PER_TRADE" hidden="1">"c20431"</definedName>
    <definedName name="IQ_AVG_SHAREOUTSTANDING" hidden="1">"c83"</definedName>
    <definedName name="IQ_AVG_TEMP_EMPLOYEES" hidden="1">"c6020"</definedName>
    <definedName name="IQ_AVG_TEV" hidden="1">"c84"</definedName>
    <definedName name="IQ_AVG_TOTAL_ASSETS_LEVERAGE_CAPITAL_FFIEC" hidden="1">"c13159"</definedName>
    <definedName name="IQ_AVG_TOTAL_ASSETS_LEVERAGE_RATIO_FFIEC" hidden="1">"c13154"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" hidden="1">"c8353"</definedName>
    <definedName name="IQ_BALANCE_GOODS_APR_UNUSED" hidden="1">"c7473"</definedName>
    <definedName name="IQ_BALANCE_GOODS_FC_UNUSED" hidden="1">"c7693"</definedName>
    <definedName name="IQ_BALANCE_GOODS_POP_FC_UNUSED" hidden="1">"c7913"</definedName>
    <definedName name="IQ_BALANCE_GOODS_POP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" hidden="1">"c8133"</definedName>
    <definedName name="IQ_BALANCE_GOODS_YOY_UNUSED" hidden="1">"c7253"</definedName>
    <definedName name="IQ_BALANCE_SERV_APR_FC_UNUSED" hidden="1">"c8355"</definedName>
    <definedName name="IQ_BALANCE_SERV_APR_UNUSED" hidden="1">"c7475"</definedName>
    <definedName name="IQ_BALANCE_SERV_FC_UNUSED" hidden="1">"c7695"</definedName>
    <definedName name="IQ_BALANCE_SERV_POP_FC_UNUSED" hidden="1">"c7915"</definedName>
    <definedName name="IQ_BALANCE_SERV_POP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" hidden="1">"c8135"</definedName>
    <definedName name="IQ_BALANCE_SERV_YOY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" hidden="1">"c8357"</definedName>
    <definedName name="IQ_BALANCE_TRADE_APR_UNUSED" hidden="1">"c7477"</definedName>
    <definedName name="IQ_BALANCE_TRADE_FC_UNUSED" hidden="1">"c7697"</definedName>
    <definedName name="IQ_BALANCE_TRADE_POP_FC_UNUSED" hidden="1">"c7917"</definedName>
    <definedName name="IQ_BALANCE_TRADE_POP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" hidden="1">"c8137"</definedName>
    <definedName name="IQ_BALANCE_TRADE_YOY_UNUSED" hidden="1">"c7257"</definedName>
    <definedName name="IQ_BANK_DEBT" hidden="1">"c2544"</definedName>
    <definedName name="IQ_BANK_DEBT_PCT" hidden="1">"c2545"</definedName>
    <definedName name="IQ_BANK_LOAN_LIST" hidden="1">"c13507"</definedName>
    <definedName name="IQ_BANKING_FEES_OPERATING_INC_FFIEC" hidden="1">"c13386"</definedName>
    <definedName name="IQ_BANKS_FOREIGN_COUNTRIES_NON_TRANS_ACCTS_FFIEC" hidden="1">"c15326"</definedName>
    <definedName name="IQ_BANKS_FOREIGN_COUNTRIES_TRANS_ACCTS_FFIEC" hidden="1">"c15318"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WEIGHT" hidden="1">"c87"</definedName>
    <definedName name="IQ_BASIC_WEIGHT_GUIDANCE" hidden="1">"c4141"</definedName>
    <definedName name="IQ_BENCHMARK_SECURITY" hidden="1">"c2154"</definedName>
    <definedName name="IQ_BENCHMARK_SPRD" hidden="1">"c2153"</definedName>
    <definedName name="IQ_BENCHMARK_YIELD" hidden="1">"c8955"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ID" hidden="1">"c13756"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LIST" hidden="1">"c13505"</definedName>
    <definedName name="IQ_BOND_PRICE" hidden="1">"c2162"</definedName>
    <definedName name="IQ_BORROWED_MONEY_QUARTERLY_AVG_FFIEC" hidden="1">"c13091"</definedName>
    <definedName name="IQ_BORROWINGS_LESS_1YR_ASSETS_TOT_FFIEC" hidden="1">"c13450"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UDGET_BALANCE_APR_FC_UNUSED" hidden="1">"c8359"</definedName>
    <definedName name="IQ_BUDGET_BALANCE_APR_UNUSED" hidden="1">"c7479"</definedName>
    <definedName name="IQ_BUDGET_BALANCE_FC_UNUSED" hidden="1">"c7699"</definedName>
    <definedName name="IQ_BUDGET_BALANCE_POP_FC_UNUSED" hidden="1">"c7919"</definedName>
    <definedName name="IQ_BUDGET_BALANCE_POP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" hidden="1">"c6819"</definedName>
    <definedName name="IQ_BUDGET_BALANCE_YOY_FC_UNUSED" hidden="1">"c8139"</definedName>
    <definedName name="IQ_BUDGET_BALANCE_YOY_UNUSED" hidden="1">"c7259"</definedName>
    <definedName name="IQ_BUDGET_RECEIPTS_APR_FC_UNUSED" hidden="1">"c8361"</definedName>
    <definedName name="IQ_BUDGET_RECEIPTS_APR_UNUSED" hidden="1">"c7481"</definedName>
    <definedName name="IQ_BUDGET_RECEIPTS_FC_UNUSED" hidden="1">"c7701"</definedName>
    <definedName name="IQ_BUDGET_RECEIPTS_POP_FC_UNUSED" hidden="1">"c7921"</definedName>
    <definedName name="IQ_BUDGET_RECEIPTS_POP_UNUSED" hidden="1">"c7041"</definedName>
    <definedName name="IQ_BUDGET_RECEIPTS_UNUSED" hidden="1">"c6821"</definedName>
    <definedName name="IQ_BUDGET_RECEIPTS_YOY_FC_UNUSED" hidden="1">"c8141"</definedName>
    <definedName name="IQ_BUDGET_RECEIPTS_YOY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COMBINATIONS_FFIEC" hidden="1">"c12967"</definedName>
    <definedName name="IQ_BUSINESS_DESCRIPTION" hidden="1">"c322"</definedName>
    <definedName name="IQ_BV_ACT_OR_EST_CIQ_COL" hidden="1">"c11715"</definedName>
    <definedName name="IQ_BV_OVER_SHARES" hidden="1">"c1349"</definedName>
    <definedName name="IQ_BV_SHARE" hidden="1">"c100"</definedName>
    <definedName name="IQ_BV_SHARE_ACT_OR_EST_CIQ_COL" hidden="1">"c11719"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_CIQ_COL" hidden="1">"c11743"</definedName>
    <definedName name="IQ_CAL_Y" hidden="1">"c102"</definedName>
    <definedName name="IQ_CAL_Y_EST_CIQ_COL" hidden="1">"c11744"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CIQ_COL" hidden="1">"c11718"</definedName>
    <definedName name="IQ_CAPEX_BNK" hidden="1">"c110"</definedName>
    <definedName name="IQ_CAPEX_BR" hidden="1">"c111"</definedName>
    <definedName name="IQ_CAPEX_FIN" hidden="1">"c112"</definedName>
    <definedName name="IQ_CAPEX_GUIDANCE_CIQ" hidden="1">"c4562"</definedName>
    <definedName name="IQ_CAPEX_GUIDANCE_CIQ_COL" hidden="1">"c11211"</definedName>
    <definedName name="IQ_CAPEX_HIGH_GUIDANCE_CIQ" hidden="1">"c4592"</definedName>
    <definedName name="IQ_CAPEX_HIGH_GUIDANCE_CIQ_COL" hidden="1">"c11241"</definedName>
    <definedName name="IQ_CAPEX_INS" hidden="1">"c113"</definedName>
    <definedName name="IQ_CAPEX_LOW_GUIDANCE_CIQ" hidden="1">"c4632"</definedName>
    <definedName name="IQ_CAPEX_LOW_GUIDANCE_CIQ_COL" hidden="1">"c11281"</definedName>
    <definedName name="IQ_CAPEX_PCT_REV" hidden="1">"c19144"</definedName>
    <definedName name="IQ_CAPEX_UTI" hidden="1">"c114"</definedName>
    <definedName name="IQ_CAPITAL_ALLOCATION_ADJUSTMENT_FOREIGN_FFIEC" hidden="1">"c15389"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BALANCES_DUE_FFIEC" hidden="1">"c12773"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ER_SUB" hidden="1">"c15763"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EPOSITORY_INSTIT_US_DOM_FFIEC" hidden="1">"c15288"</definedName>
    <definedName name="IQ_CASH_DUE_BANKS" hidden="1">"c1351"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" hidden="1">"c4154"</definedName>
    <definedName name="IQ_CASH_FLOW_ACT_OR_EST_CIQ_COL" hidden="1">"c11215"</definedName>
    <definedName name="IQ_CASH_FLOW_GUIDANCE" hidden="1">"c4155"</definedName>
    <definedName name="IQ_CASH_FLOW_GUIDANCE_CIQ" hidden="1">"c4567"</definedName>
    <definedName name="IQ_CASH_FLOW_GUIDANCE_CIQ_COL" hidden="1">"c11216"</definedName>
    <definedName name="IQ_CASH_FLOW_HIGH_GUIDANCE" hidden="1">"c4201"</definedName>
    <definedName name="IQ_CASH_FLOW_HIGH_GUIDANCE_CIQ" hidden="1">"c4613"</definedName>
    <definedName name="IQ_CASH_FLOW_HIGH_GUIDANCE_CIQ_COL" hidden="1">"c11262"</definedName>
    <definedName name="IQ_CASH_FLOW_LOW_GUIDANCE" hidden="1">"c4241"</definedName>
    <definedName name="IQ_CASH_FLOW_LOW_GUIDANCE_CIQ" hidden="1">"c4653"</definedName>
    <definedName name="IQ_CASH_FLOW_LOW_GUIDANCE_CIQ_COL" hidden="1">"c11302"</definedName>
    <definedName name="IQ_CASH_FOREIGN_BRANCH_OTHER_US_BANKS_FFIEC" hidden="1">"c15282"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NET" hidden="1">"c12753"</definedName>
    <definedName name="IQ_CASH_INTEREST_OPER" hidden="1">"c6293"</definedName>
    <definedName name="IQ_CASH_INTEREST_RECEIVED" hidden="1">"c12754"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" hidden="1">"c4164"</definedName>
    <definedName name="IQ_CASH_OPER_ACT_OR_EST_CIQ_COL" hidden="1">"c11225"</definedName>
    <definedName name="IQ_CASH_OPER_AP" hidden="1">"c8888"</definedName>
    <definedName name="IQ_CASH_OPER_AP_ABS" hidden="1">"c8907"</definedName>
    <definedName name="IQ_CASH_OPER_GUIDANCE_CIQ" hidden="1">"c4577"</definedName>
    <definedName name="IQ_CASH_OPER_GUIDANCE_CIQ_COL" hidden="1">"c11226"</definedName>
    <definedName name="IQ_CASH_OPER_HIGH_GUIDANCE_CIQ" hidden="1">"c4597"</definedName>
    <definedName name="IQ_CASH_OPER_HIGH_GUIDANCE_CIQ_COL" hidden="1">"c11246"</definedName>
    <definedName name="IQ_CASH_OPER_LOW_GUIDANCE_CIQ" hidden="1">"c4637"</definedName>
    <definedName name="IQ_CASH_OPER_LOW_GUIDANCE_CIQ_COL" hidden="1">"c11286"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GUIDANCE" hidden="1">"c4250"</definedName>
    <definedName name="IQ_CASH_ST_INVEST_GUIDANCE_CIQ" hidden="1">"c4776"</definedName>
    <definedName name="IQ_CASH_ST_INVEST_GUIDANCE_CIQ_COL" hidden="1">"c11423"</definedName>
    <definedName name="IQ_CASH_ST_INVEST_HIGH_GUIDANCE" hidden="1">"c4195"</definedName>
    <definedName name="IQ_CASH_ST_INVEST_HIGH_GUIDANCE_CIQ" hidden="1">"c4607"</definedName>
    <definedName name="IQ_CASH_ST_INVEST_HIGH_GUIDANCE_CIQ_COL" hidden="1">"c11256"</definedName>
    <definedName name="IQ_CASH_ST_INVEST_LOW_GUIDANCE" hidden="1">"c4235"</definedName>
    <definedName name="IQ_CASH_ST_INVEST_LOW_GUIDANCE_CIQ" hidden="1">"c4647"</definedName>
    <definedName name="IQ_CASH_ST_INVEST_LOW_GUIDANCE_CIQ_COL" hidden="1">"c11296"</definedName>
    <definedName name="IQ_CASH_STRUCTURED_PRODUCTS_AFS_AMORT_COST_FFIEC" hidden="1">"c20500"</definedName>
    <definedName name="IQ_CASH_STRUCTURED_PRODUCTS_AFS_FAIR_VAL_FFIEC" hidden="1">"c20465"</definedName>
    <definedName name="IQ_CASH_STRUCTURED_PRODUCTS_AVAIL_SALE_FFIEC" hidden="1">"c15263"</definedName>
    <definedName name="IQ_CASH_STRUCTURED_PRODUCTS_FFIEC" hidden="1">"c15260"</definedName>
    <definedName name="IQ_CASH_STRUCTURED_PRODUCTS_HTM_AMORT_COST_FFIEC" hidden="1">"c20448"</definedName>
    <definedName name="IQ_CASH_STRUCTURED_PRODUCTS_HTM_FAIR_VAL_FFIEC" hidden="1">"c20483"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ATASTROPHIC_LOSS_RATIO" hidden="1">"c15881"</definedName>
    <definedName name="IQ_CDS_5YR_CIQID" hidden="1">"c11751"</definedName>
    <definedName name="IQ_CDS_ASK" hidden="1">"c6027"</definedName>
    <definedName name="IQ_CDS_BID" hidden="1">"c6026"</definedName>
    <definedName name="IQ_CDS_COUPON" hidden="1">"c15234"</definedName>
    <definedName name="IQ_CDS_CURRENCY" hidden="1">"c6031"</definedName>
    <definedName name="IQ_CDS_DERIVATIVES_BENEFICIARY_FFIEC" hidden="1">"c13119"</definedName>
    <definedName name="IQ_CDS_DERIVATIVES_GUARANTOR_FFIEC" hidden="1">"c13112"</definedName>
    <definedName name="IQ_CDS_EVAL_DATE" hidden="1">"c6029"</definedName>
    <definedName name="IQ_CDS_LIST" hidden="1">"c13510"</definedName>
    <definedName name="IQ_CDS_LOAN_LIST" hidden="1">"c13518"</definedName>
    <definedName name="IQ_CDS_MID" hidden="1">"c6028"</definedName>
    <definedName name="IQ_CDS_NAME" hidden="1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SENIOR_LIST" hidden="1">"c13508"</definedName>
    <definedName name="IQ_CDS_SUB_LIST" hidden="1">"c13509"</definedName>
    <definedName name="IQ_CDS_TERM" hidden="1">"c6030"</definedName>
    <definedName name="IQ_CDS_TYPE" hidden="1">"c6025"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_CIQ_COL" hidden="1">"c11708"</definedName>
    <definedName name="IQ_CFPS_GUIDANCE_CIQ" hidden="1">"c4782"</definedName>
    <definedName name="IQ_CFPS_GUIDANCE_CIQ_COL" hidden="1">"c11429"</definedName>
    <definedName name="IQ_CFPS_HIGH_GUIDANCE_CIQ" hidden="1">"c4579"</definedName>
    <definedName name="IQ_CFPS_HIGH_GUIDANCE_CIQ_COL" hidden="1">"c11228"</definedName>
    <definedName name="IQ_CFPS_LOW_GUIDANCE_CIQ" hidden="1">"c4619"</definedName>
    <definedName name="IQ_CFPS_LOW_GUIDANCE_CIQ_COL" hidden="1">"c11268"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FAIR_VALUE_FINANCIAL_LIAB_T1_FFIEC" hidden="1">"c13138"</definedName>
    <definedName name="IQ_CHANGE_FAIR_VALUE_OPTIONS_FFIEC" hidden="1">"c13045"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" hidden="1">"c8500"</definedName>
    <definedName name="IQ_CHANGE_INVENT_REAL_APR_UNUSED" hidden="1">"c7620"</definedName>
    <definedName name="IQ_CHANGE_INVENT_REAL_FC_UNUSED" hidden="1">"c7840"</definedName>
    <definedName name="IQ_CHANGE_INVENT_REAL_POP_FC_UNUSED" hidden="1">"c8060"</definedName>
    <definedName name="IQ_CHANGE_INVENT_REAL_POP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" hidden="1">"c8280"</definedName>
    <definedName name="IQ_CHANGE_INVENT_REAL_YOY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K" hidden="1">"c20384"</definedName>
    <definedName name="IQ_CIP" hidden="1">"c17551"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IMS_ADJUSTMENT_EXP_PC_FFIEC" hidden="1">"c13100"</definedName>
    <definedName name="IQ_CLASS_MARKETCAP" hidden="1">"c13512"</definedName>
    <definedName name="IQ_CLASS_SHARESOUTSTANDING" hidden="1">"c13513"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D_END_1_4_FAM_LOANS_TOT_LOANS_FFIEC" hidden="1">"c13866"</definedName>
    <definedName name="IQ_CLOSED_END_1_4_FIRST_LIENS_TRADING_DOM_FFIEC" hidden="1">"c12928"</definedName>
    <definedName name="IQ_CLOSED_END_1_4_JR_LIENS_LL_REC_DOM_FFIEC" hidden="1">"c12904"</definedName>
    <definedName name="IQ_CLOSED_END_1_4_JUNIOR_LIENS_TRADING_DOM_FFIEC" hidden="1">"c12929"</definedName>
    <definedName name="IQ_CLOSED_END_SEC_1_4_1ST_LIENS_CHARGE_OFFS_FFIEC" hidden="1">"c13169"</definedName>
    <definedName name="IQ_CLOSED_END_SEC_1_4_1ST_LIENS_DUE_30_89_FFIEC" hidden="1">"c13261"</definedName>
    <definedName name="IQ_CLOSED_END_SEC_1_4_1ST_LIENS_DUE_90_FFIEC" hidden="1">"c13289"</definedName>
    <definedName name="IQ_CLOSED_END_SEC_1_4_1ST_LIENS_NON_ACCRUAL_FFIEC" hidden="1">"c13315"</definedName>
    <definedName name="IQ_CLOSED_END_SEC_1_4_1ST_LIENS_RECOV_FFIEC" hidden="1">"c13191"</definedName>
    <definedName name="IQ_CLOSED_END_SEC_1_4_JR_LIENS_CHARGE_OFFS_FFIEC" hidden="1">"c13170"</definedName>
    <definedName name="IQ_CLOSED_END_SEC_1_4_JR_LIENS_DUE_30_89_FFIEC" hidden="1">"c13262"</definedName>
    <definedName name="IQ_CLOSED_END_SEC_1_4_JR_LIENS_DUE_90_FFIEC" hidden="1">"c13290"</definedName>
    <definedName name="IQ_CLOSED_END_SEC_1_4_JR_LIENS_NON_ACCRUAL_FFIEC" hidden="1">"c13316"</definedName>
    <definedName name="IQ_CLOSED_END_SEC_1_4_JR_LIENS_RECOV_FFIEC" hidden="1">"c13192"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D_END_SECURED_1_4_FIRST_LIENS_LL_REC_DOM_FFIEC" hidden="1">"c12903"</definedName>
    <definedName name="IQ_CLOSED_LOANS_GROSS_LOANS_FFIEC" hidden="1">"c13399"</definedName>
    <definedName name="IQ_CLOSED_LOANS_RISK_BASED_FFIEC" hidden="1">"c13420"</definedName>
    <definedName name="IQ_CLOSEPRICE" hidden="1">"c174"</definedName>
    <definedName name="IQ_CLOSEPRICE_ADJ" hidden="1">"c2115"</definedName>
    <definedName name="IQ_CLOSEPRICE_RT" hidden="1">"CLOSE"</definedName>
    <definedName name="IQ_CMBS_ISSUED_AFS_AMORT_COST_FFIEC" hidden="1">"c20497"</definedName>
    <definedName name="IQ_CMBS_ISSUED_AFS_FAIR_VAL_FFIEC" hidden="1">"c20462"</definedName>
    <definedName name="IQ_CMBS_ISSUED_AVAIL_SALE_FFIEC" hidden="1">"c12800"</definedName>
    <definedName name="IQ_CMBS_ISSUED_FFIEC" hidden="1">"c12786"</definedName>
    <definedName name="IQ_CMBS_ISSUED_HTM_AMORT_COST_FFIEC" hidden="1">"c20445"</definedName>
    <definedName name="IQ_CMBS_ISSUED_HTM_FAIR_VAL_FFIEC" hidden="1">"c20480"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ATERAL_TYPE" hidden="1">"c8954"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_IND_LOANS_TOT_LOANS_FFIEC" hidden="1">"c13874"</definedName>
    <definedName name="IQ_COMM_INDUSTRIAL_LL_REC_FFIEC" hidden="1">"c18880"</definedName>
    <definedName name="IQ_COMM_INDUSTRIAL_LOANS_FFIEC" hidden="1">"c12821"</definedName>
    <definedName name="IQ_COMM_INDUSTRIAL_NON_US_LL_REC_FFIEC" hidden="1">"c12888"</definedName>
    <definedName name="IQ_COMM_INDUSTRIAL_US_LL_REC_FFIEC" hidden="1">"c12887"</definedName>
    <definedName name="IQ_COMM_RE_FARM_LOANS_TOT_LOANS_FFIEC" hidden="1">"c13872"</definedName>
    <definedName name="IQ_COMM_RE_NONFARM_NONRES_TOT_LOANS_FFIEC" hidden="1">"c13871"</definedName>
    <definedName name="IQ_COMMERCIAL_DOM" hidden="1">"c177"</definedName>
    <definedName name="IQ_COMMERCIAL_FIRE_WRITTEN" hidden="1">"c178"</definedName>
    <definedName name="IQ_COMMERCIAL_INDUSTRIAL_DOM_QUARTERLY_AVG_FFIEC" hidden="1">"c15478"</definedName>
    <definedName name="IQ_COMMERCIAL_INDUSTRIAL_GROSS_LOANS_FFIEC" hidden="1">"c13410"</definedName>
    <definedName name="IQ_COMMERCIAL_INDUSTRIAL_LOANS_DUE_30_89_FFIEC" hidden="1">"c13271"</definedName>
    <definedName name="IQ_COMMERCIAL_INDUSTRIAL_LOANS_DUE_90_FFIEC" hidden="1">"c13297"</definedName>
    <definedName name="IQ_COMMERCIAL_INDUSTRIAL_LOANS_LL_REC_DOM_FFIEC" hidden="1">"c12910"</definedName>
    <definedName name="IQ_COMMERCIAL_INDUSTRIAL_LOANS_NON_ACCRUAL_FFIEC" hidden="1">"c13323"</definedName>
    <definedName name="IQ_COMMERCIAL_INDUSTRIAL_NON_US_CHARGE_OFFS_FFIEC" hidden="1">"c13179"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NON_US_RECOV_FFIEC" hidden="1">"c13201"</definedName>
    <definedName name="IQ_COMMERCIAL_INDUSTRIAL_RISK_BASED_FFIEC" hidden="1">"c13431"</definedName>
    <definedName name="IQ_COMMERCIAL_INDUSTRIAL_TRADING_DOM_FFIEC" hidden="1">"c12932"</definedName>
    <definedName name="IQ_COMMERCIAL_INDUSTRIAL_US_CHARGE_OFFS_FFIEC" hidden="1">"c13178"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INDUSTRIAL_US_RECOV_FFIEC" hidden="1">"c13200"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OTHER_LOC_FFIEC" hidden="1">"c13253"</definedName>
    <definedName name="IQ_COMMERCIAL_PAPER_ASSETS_TOT_FFIEC" hidden="1">"c13449"</definedName>
    <definedName name="IQ_COMMERCIAL_PAPER_FFIEC" hidden="1">"c12863"</definedName>
    <definedName name="IQ_COMMERCIAL_RE_GROSS_LOANS_FFIEC" hidden="1">"c13400"</definedName>
    <definedName name="IQ_COMMERCIAL_RE_LOANS_TOTAL_LOANS" hidden="1">"c15710"</definedName>
    <definedName name="IQ_COMMERCIAL_RE_RISK_BASED_FFIEC" hidden="1">"c13421"</definedName>
    <definedName name="IQ_COMMISS_FEES" hidden="1">"c180"</definedName>
    <definedName name="IQ_COMMISSION_DEF" hidden="1">"c181"</definedName>
    <definedName name="IQ_COMMITMENTS_BUY_SEC_OTHER_OFF_BS_FFIEC" hidden="1">"c13128"</definedName>
    <definedName name="IQ_COMMITMENTS_COMMERCIAL_RE_UNUSED_FFIEC" hidden="1">"c13243"</definedName>
    <definedName name="IQ_COMMITMENTS_SELL_SEC_OTHER_OFF_BS_FFIEC" hidden="1">"c13129"</definedName>
    <definedName name="IQ_COMMODITY_EXPOSURE_FFIEC" hidden="1">"c13061"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MON_STOCK_FFIEC" hidden="1">"c12876"</definedName>
    <definedName name="IQ_COMP_BENEFITS" hidden="1">"c213"</definedName>
    <definedName name="IQ_COMPANY_ADDRESS" hidden="1">"c214"</definedName>
    <definedName name="IQ_COMPANY_ID" hidden="1">"c3513"</definedName>
    <definedName name="IQ_COMPANY_ID_QUICK_MATCH" hidden="1">"c16227"</definedName>
    <definedName name="IQ_COMPANY_NAME" hidden="1">"c215"</definedName>
    <definedName name="IQ_COMPANY_NAME_LONG" hidden="1">"c1585"</definedName>
    <definedName name="IQ_COMPANY_NAME_QUICK_MATCH" hidden="1">"c16228"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MPETITOR_ALL" hidden="1">"c13754"</definedName>
    <definedName name="IQ_COMPETITOR_NAMED_BY_COMPANY" hidden="1">"c13751"</definedName>
    <definedName name="IQ_COMPETITOR_NAMED_BY_COMPETITOR" hidden="1">"c13752"</definedName>
    <definedName name="IQ_COMPETITOR_NAMED_BY_THIRDPARTY" hidden="1">"c13753"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OLIDATED_ASSETS_QUARTERLY_AVG_FFIEC" hidden="1">"c13087"</definedName>
    <definedName name="IQ_CONSOLIDATED_NI_FOREIGN_FFIEC" hidden="1">"c15396"</definedName>
    <definedName name="IQ_CONST_LAND_DEV_LOANS_TOT_LOANS_FFIEC" hidden="1">"c13865"</definedName>
    <definedName name="IQ_CONST_LAND_DEVELOP_OTHER_DOM_CHARGE_OFFS_FFIEC" hidden="1">"c13628"</definedName>
    <definedName name="IQ_CONST_LAND_DEVELOP_OTHER_DOM_RECOV_FFIEC" hidden="1">"c13632"</definedName>
    <definedName name="IQ_CONSTITUENTS" hidden="1">"c19169"</definedName>
    <definedName name="IQ_CONSTITUENTS_NAME" hidden="1">"c19192"</definedName>
    <definedName name="IQ_CONSTRUCTION_LAND_DEV_DOM_FFIEC" hidden="1">"c15267"</definedName>
    <definedName name="IQ_CONSTRUCTION_LL_REC_DOM_FFIEC" hidden="1">"c12900"</definedName>
    <definedName name="IQ_CONSTRUCTION_LOANS" hidden="1">"c222"</definedName>
    <definedName name="IQ_CONSTRUCTION_LOANS_DOM_DUE_30_89_FFIEC" hidden="1">"c13256"</definedName>
    <definedName name="IQ_CONSTRUCTION_LOANS_DOM_DUE_90_FFIEC" hidden="1">"c13284"</definedName>
    <definedName name="IQ_CONSTRUCTION_LOANS_DOM_NON_ACCRUAL_FFIEC" hidden="1">"c13310"</definedName>
    <definedName name="IQ_CONSTRUCTION_LOANS_GROSS_LOANS_FFIEC" hidden="1">"c13401"</definedName>
    <definedName name="IQ_CONSTRUCTION_LOANS_TOTAL_LOANS" hidden="1">"c15711"</definedName>
    <definedName name="IQ_CONSTRUCTION_RISK_BASED_FFIEC" hidden="1">"c13422"</definedName>
    <definedName name="IQ_CONSULTING_FFIEC" hidden="1">"c13055"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ASES_LL_REC_FFIEC" hidden="1">"c12895"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LOANS_LL_REC_DOM_FFIEC" hidden="1">"c12911"</definedName>
    <definedName name="IQ_CONSUMER_LOANS_TOT_LOANS_FFIEC" hidden="1">"c13875"</definedName>
    <definedName name="IQ_CONSUMER_LOANS_TOTAL_LOANS" hidden="1">"c15712"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IBUTOR_CIQID" hidden="1">"c13742"</definedName>
    <definedName name="IQ_CONTRIBUTOR_NAME" hidden="1">"c13735"</definedName>
    <definedName name="IQ_CONTRIBUTOR_START_DATE" hidden="1">"c13741"</definedName>
    <definedName name="IQ_CONV_DATE" hidden="1">"c2191"</definedName>
    <definedName name="IQ_CONV_EXP_DATE" hidden="1">"c3043"</definedName>
    <definedName name="IQ_CONV_PARITY" hidden="1">"c16197"</definedName>
    <definedName name="IQ_CONV_PREMIUM" hidden="1">"c2195"</definedName>
    <definedName name="IQ_CONV_PRICE" hidden="1">"c2193"</definedName>
    <definedName name="IQ_CONV_PRICE_ISSUE" hidden="1">"c16195"</definedName>
    <definedName name="IQ_CONV_PRICE_PREM_ISSUE" hidden="1">"c16196"</definedName>
    <definedName name="IQ_CONV_PRICE_PREMIUM" hidden="1">"c16198"</definedName>
    <definedName name="IQ_CONV_PT_PREMIUM" hidden="1">"c16199"</definedName>
    <definedName name="IQ_CONV_PT_PREMIUM_PCT" hidden="1">"c16200"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SION_COMMON_FFIEC" hidden="1">"c12964"</definedName>
    <definedName name="IQ_CONVERSION_PREF_FFIEC" hidden="1">"c12962"</definedName>
    <definedName name="IQ_CONVERT" hidden="1">"c2536"</definedName>
    <definedName name="IQ_CONVERT_PCT" hidden="1">"c2537"</definedName>
    <definedName name="IQ_CONVEXITY" hidden="1">"c2182"</definedName>
    <definedName name="IQ_COO_ID" hidden="1">"c15222"</definedName>
    <definedName name="IQ_COO_NAME" hidden="1">"c15221"</definedName>
    <definedName name="IQ_CORE_DEPOSITS_ASSETS_TOT_FFIEC" hidden="1">"c13442"</definedName>
    <definedName name="IQ_CORE_DEPOSITS_FFIEC" hidden="1">"c13862"</definedName>
    <definedName name="IQ_CORE_DEPOSITS_TOT_DEPOSITS_FFIEC" hidden="1">"c13911"</definedName>
    <definedName name="IQ_CORE_TIER_ONE_CAPITAL" hidden="1">"c15244"</definedName>
    <definedName name="IQ_CORE_TIER_ONE_CAPITAL_RATIO" hidden="1">"c15240"</definedName>
    <definedName name="IQ_CORP_GOODS_PRICE_INDEX_APR_FC_UNUSED" hidden="1">"c8381"</definedName>
    <definedName name="IQ_CORP_GOODS_PRICE_INDEX_APR_UNUSED" hidden="1">"c7501"</definedName>
    <definedName name="IQ_CORP_GOODS_PRICE_INDEX_FC_UNUSED" hidden="1">"c7721"</definedName>
    <definedName name="IQ_CORP_GOODS_PRICE_INDEX_POP_FC_UNUSED" hidden="1">"c7941"</definedName>
    <definedName name="IQ_CORP_GOODS_PRICE_INDEX_POP_UNUSED" hidden="1">"c7061"</definedName>
    <definedName name="IQ_CORP_GOODS_PRICE_INDEX_UNUSED" hidden="1">"c6841"</definedName>
    <definedName name="IQ_CORP_GOODS_PRICE_INDEX_YOY_FC_UNUSED" hidden="1">"c8161"</definedName>
    <definedName name="IQ_CORP_GOODS_PRICE_INDEX_YOY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RPORATE_OVER_TOTAL" hidden="1">"c13767"</definedName>
    <definedName name="IQ_COST_BORROWED_FUNDS_FFIEC" hidden="1">"c13492"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FOREIGN_DEPOSITS_FFIEC" hidden="1">"c13490"</definedName>
    <definedName name="IQ_COST_FUNDS" hidden="1">"c15726"</definedName>
    <definedName name="IQ_COST_FUNDS_PURCHASED_FFIEC" hidden="1">"c13491"</definedName>
    <definedName name="IQ_COST_INT_DEPOSITS_FFIEC" hidden="1">"c13489"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UPON_FORMULA" hidden="1">"c8965"</definedName>
    <definedName name="IQ_COVERAGE_RATIO" hidden="1">"c15243"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Q" hidden="1">5000</definedName>
    <definedName name="IQ_CREDIT_CARD_FEE_BNK" hidden="1">"c231"</definedName>
    <definedName name="IQ_CREDIT_CARD_FEE_FIN" hidden="1">"c1583"</definedName>
    <definedName name="IQ_CREDIT_CARD_GROSS_LOANS_FFIEC" hidden="1">"c13412"</definedName>
    <definedName name="IQ_CREDIT_CARD_INTERCHANGE_FEES_FFIEC" hidden="1">"c13046"</definedName>
    <definedName name="IQ_CREDIT_CARD_LINES_UNUSED_FFIEC" hidden="1">"c13242"</definedName>
    <definedName name="IQ_CREDIT_CARD_LOANS_CHARGE_OFFS_FFIEC" hidden="1">"c13180"</definedName>
    <definedName name="IQ_CREDIT_CARD_LOANS_DOM_QUARTERLY_AVG_FFIEC" hidden="1">"c15480"</definedName>
    <definedName name="IQ_CREDIT_CARD_LOANS_DUE_30_89_FFIEC" hidden="1">"c13272"</definedName>
    <definedName name="IQ_CREDIT_CARD_LOANS_DUE_90_FFIEC" hidden="1">"c13298"</definedName>
    <definedName name="IQ_CREDIT_CARD_LOANS_NON_ACCRUAL_FFIEC" hidden="1">"c13324"</definedName>
    <definedName name="IQ_CREDIT_CARD_LOANS_RECOV_FFIEC" hidden="1">"c13202"</definedName>
    <definedName name="IQ_CREDIT_CARD_RISK_BASED_FFIEC" hidden="1">"c13433"</definedName>
    <definedName name="IQ_CREDIT_CARDS_CONSUMER_LOANS_FFIEC" hidden="1">"c12822"</definedName>
    <definedName name="IQ_CREDIT_CARDS_LL_REC_FFIEC" hidden="1">"c12889"</definedName>
    <definedName name="IQ_CREDIT_CARDS_LOANS_TRADING_DOM_FFIEC" hidden="1">"c12933"</definedName>
    <definedName name="IQ_CREDIT_EXPOSURE" hidden="1">"c10038"</definedName>
    <definedName name="IQ_CREDIT_EXPOSURE_FFIEC" hidden="1">"c13062"</definedName>
    <definedName name="IQ_CREDIT_LOSS_CF" hidden="1">"c232"</definedName>
    <definedName name="IQ_CREDIT_LOSSES_DERIVATIVES_FFIEC" hidden="1">"c13068"</definedName>
    <definedName name="IQ_CREDIT_OPTIONS_DERIVATIVES_BENEFICIARY_FFIEC" hidden="1">"c13121"</definedName>
    <definedName name="IQ_CREDIT_OPTIONS_DERIVATIVES_GUARANTOR_FFIEC" hidden="1">"c13114"</definedName>
    <definedName name="IQ_CUMULATIVE_PREFERREDS_T2_FFIEC" hidden="1">"c13145"</definedName>
    <definedName name="IQ_CUMULATIVE_SPLIT_FACTOR" hidden="1">"c2094"</definedName>
    <definedName name="IQ_CURR_ACCT_BALANCE_APR_FC_UNUSED" hidden="1">"c8387"</definedName>
    <definedName name="IQ_CURR_ACCT_BALANCE_APR_UNUSED" hidden="1">"c7507"</definedName>
    <definedName name="IQ_CURR_ACCT_BALANCE_FC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" hidden="1">"c7947"</definedName>
    <definedName name="IQ_CURR_ACCT_BALANCE_POP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" hidden="1">"c8167"</definedName>
    <definedName name="IQ_CURR_ACCT_BALANCE_YOY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BENCHMARK" hidden="1">"c6780"</definedName>
    <definedName name="IQ_CURRENT_BENCHMARK_CIQID" hidden="1">"c6781"</definedName>
    <definedName name="IQ_CURRENT_BENCHMARK_MATURITY" hidden="1">"c6782"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UST_PREMISE_EQUIP_CABLE_INVEST" hidden="1">"c15801"</definedName>
    <definedName name="IQ_CUSTOMER_LIAB_ACCEPTANCES_OUT_FFIEC" hidden="1">"c12835"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RT" hidden="1">"c20427"</definedName>
    <definedName name="IQ_DATA_PROCESSING_EXP_FFIEC" hidden="1">"c13047"</definedName>
    <definedName name="IQ_DATA_SET" hidden="1">"c19244"</definedName>
    <definedName name="IQ_DATED_DATE" hidden="1">"c2185"</definedName>
    <definedName name="IQ_DAY_COUNT" hidden="1">"c2161"</definedName>
    <definedName name="IQ_DAYS_COVER_SHORT" hidden="1">"c1578"</definedName>
    <definedName name="IQ_DAYS_DELAY" hidden="1">"c8963"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1_5_INVEST_SECURITIES_FFIEC" hidden="1">"c13465"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BT_LESS_1YR_INVEST_SECURITIES_FFIEC" hidden="1">"c13464"</definedName>
    <definedName name="IQ_DEBT_MATURING_MORE_THAN_ONE_YEAR_FFIEC" hidden="1">"c13164"</definedName>
    <definedName name="IQ_DEBT_MATURING_WITHIN_ONE_YEAR_FFIEC" hidden="1">"c13163"</definedName>
    <definedName name="IQ_DEBT_SEC_OVER_5YR_INVEST_SECURITIES_FFIEC" hidden="1">"c13466"</definedName>
    <definedName name="IQ_DEBT_SECURITIES_FOREIGN_FFIEC" hidden="1">"c13484"</definedName>
    <definedName name="IQ_DEBT_SECURITIES_OTHER_ASSETS_DUE_30_89_FFIEC" hidden="1">"c13279"</definedName>
    <definedName name="IQ_DEBT_SECURITIES_OTHER_ASSETS_DUE_90_FFIEC" hidden="1">"c13305"</definedName>
    <definedName name="IQ_DEBT_SECURITIES_OTHER_ASSETS_NON_ACCRUAL_FFIEC" hidden="1">"c13331"</definedName>
    <definedName name="IQ_DECREASE_INT_EXPENSE_FFIEC" hidden="1">"c13064"</definedName>
    <definedName name="IQ_DEDUCTIONS_TOTAL_RISK_BASED_CAPITAL_FFIEC" hidden="1">"c13152"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ASSETS_FFIEC" hidden="1">"c12843"</definedName>
    <definedName name="IQ_DEFERRED_TAX_ASSETS_T1_FFIEC" hidden="1">"c13141"</definedName>
    <definedName name="IQ_DEFERRED_TAX_LIAB_FFIEC" hidden="1">"c12870"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COMMERCIAL_BANK_SUBS_FFIEC" hidden="1">"c12945"</definedName>
    <definedName name="IQ_DEMAND_DEPOSITS_TOT_DEPOSITS_FFIEC" hidden="1">"c13902"</definedName>
    <definedName name="IQ_DEPOSITORY_INST_ACCEPTANCES_LL_REC_DOM_FFIEC" hidden="1">"c12908"</definedName>
    <definedName name="IQ_DEPOSITORY_INST_GROSS_LOANS_FFIEC" hidden="1">"c13409"</definedName>
    <definedName name="IQ_DEPOSITORY_INST_RISK_BASED_FFIEC" hidden="1">"c13430"</definedName>
    <definedName name="IQ_DEPOSITS_100K_MORE_ASSETS_TOT_FFIEC" hidden="1">"c13444"</definedName>
    <definedName name="IQ_DEPOSITS_DOM_FFIEC" hidden="1">"c12850"</definedName>
    <definedName name="IQ_DEPOSITS_FAIR_VALUE_TOT_FFIEC" hidden="1">"c13213"</definedName>
    <definedName name="IQ_DEPOSITS_FIN" hidden="1">"c321"</definedName>
    <definedName name="IQ_DEPOSITS_FOREIGN_BANKS_FOREIGN_AGENCIES_FFIEC" hidden="1">"c15344"</definedName>
    <definedName name="IQ_DEPOSITS_FOREIGN_FFIEC" hidden="1">"c12853"</definedName>
    <definedName name="IQ_DEPOSITS_INTEREST_SECURITIES" hidden="1">"c5509"</definedName>
    <definedName name="IQ_DEPOSITS_LESS_100K_COMMERCIAL_BANK_SUBS_FFIEC" hidden="1">"c12948"</definedName>
    <definedName name="IQ_DEPOSITS_LEVEL_1_FFIEC" hidden="1">"c13221"</definedName>
    <definedName name="IQ_DEPOSITS_LEVEL_2_FFIEC" hidden="1">"c13229"</definedName>
    <definedName name="IQ_DEPOSITS_LEVEL_3_FFIEC" hidden="1">"c13237"</definedName>
    <definedName name="IQ_DEPOSITS_MORE_100K_COMMERCIAL_BANK_SUBS_FFIEC" hidden="1">"c12949"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NEGATIVE_FAIR_VALUE_DOM_FFIEC" hidden="1">"c12943"</definedName>
    <definedName name="IQ_DERIVATIVES_NEGATIVE_VALUE_FFIEC" hidden="1">"c12861"</definedName>
    <definedName name="IQ_DERIVATIVES_POS_FAIR_VALUE_FFIEC" hidden="1">"c12827"</definedName>
    <definedName name="IQ_DERIVATIVES_POSITIVE_FAIR_VALUE_TRADING_DOM_FFIEC" hidden="1">"c12938"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C" hidden="1">"c13834"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LUT_WEIGHT_GUIDANCE" hidden="1">"c4270"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RECTORS_FEES_FFIEC" hidden="1">"c13049"</definedName>
    <definedName name="IQ_DISALLOWED_DEFERRED_TAX_ASSETS_FFIEC" hidden="1">"c13157"</definedName>
    <definedName name="IQ_DISALLOWED_GOODWILL_INTANGIBLE_ASSETS_FFIEC" hidden="1">"c13155"</definedName>
    <definedName name="IQ_DISALLOWED_GOODWILL_INTANGIBLES_T1_FFIEC" hidden="1">"c13137"</definedName>
    <definedName name="IQ_DISALLOWED_SERVICING_ASSETS_FFIEC" hidden="1">"c13156"</definedName>
    <definedName name="IQ_DISALLOWED_SERVICING_ASSETS_T1_FFIEC" hidden="1">"c13140"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ACT_OR_EST_CIQ_COL" hidden="1">"c11450"</definedName>
    <definedName name="IQ_DISTRIBUTABLE_CASH_GUIDANCE_CIQ" hidden="1">"c4804"</definedName>
    <definedName name="IQ_DISTRIBUTABLE_CASH_GUIDANCE_CIQ_COL" hidden="1">"c11451"</definedName>
    <definedName name="IQ_DISTRIBUTABLE_CASH_HIGH_GUIDANCE_CIQ" hidden="1">"c4610"</definedName>
    <definedName name="IQ_DISTRIBUTABLE_CASH_HIGH_GUIDANCE_CIQ_COL" hidden="1">"c11259"</definedName>
    <definedName name="IQ_DISTRIBUTABLE_CASH_LOW_GUIDANCE_CIQ" hidden="1">"c4650"</definedName>
    <definedName name="IQ_DISTRIBUTABLE_CASH_LOW_GUIDANCE_CIQ_COL" hidden="1">"c11299"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ACT_OR_EST_CIQ_COL" hidden="1">"c11458"</definedName>
    <definedName name="IQ_DISTRIBUTABLE_CASH_SHARE_GUIDANCE_CIQ" hidden="1">"c4812"</definedName>
    <definedName name="IQ_DISTRIBUTABLE_CASH_SHARE_GUIDANCE_CIQ_COL" hidden="1">"c11459"</definedName>
    <definedName name="IQ_DISTRIBUTABLE_CASH_SHARE_HIGH_GUIDANCE_CIQ" hidden="1">"c4611"</definedName>
    <definedName name="IQ_DISTRIBUTABLE_CASH_SHARE_HIGH_GUIDANCE_CIQ_COL" hidden="1">"c11260"</definedName>
    <definedName name="IQ_DISTRIBUTABLE_CASH_SHARE_LOW_GUIDANCE_CIQ" hidden="1">"c4651"</definedName>
    <definedName name="IQ_DISTRIBUTABLE_CASH_SHARE_LOW_GUIDANCE_CIQ_COL" hidden="1">"c11300"</definedName>
    <definedName name="IQ_DISTRIBUTABLE_CASH_SHARES_BASIC" hidden="1">"c16189"</definedName>
    <definedName name="IQ_DISTRIBUTABLE_CASH_SHARES_DILUTED" hidden="1">"c16190"</definedName>
    <definedName name="IQ_DISTRIBUTABLE_CASH_STANDARDIZED" hidden="1">"c20435"</definedName>
    <definedName name="IQ_DIV_AMOUNT" hidden="1">"c3041"</definedName>
    <definedName name="IQ_DIV_AMOUNT_LIST" hidden="1">"c17417"</definedName>
    <definedName name="IQ_DIV_PAYMENT_DATE" hidden="1">"c2205"</definedName>
    <definedName name="IQ_DIV_PAYMENT_DATE_LIST" hidden="1">"c17418"</definedName>
    <definedName name="IQ_DIV_PAYMENT_TYPE" hidden="1">"c12752"</definedName>
    <definedName name="IQ_DIV_PAYMENT_TYPE_LIST" hidden="1">"c17419"</definedName>
    <definedName name="IQ_DIV_RECORD_DATE" hidden="1">"c2204"</definedName>
    <definedName name="IQ_DIV_RECORD_DATE_LIST" hidden="1">"c17420"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FIEC" hidden="1">"c12969"</definedName>
    <definedName name="IQ_DIVIDENDS_DECLARED_PREFERRED_FFIEC" hidden="1">"c12968"</definedName>
    <definedName name="IQ_DIVIDENDS_NET_INCOME_FFIEC" hidden="1">"c13349"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OM_OFFICE_DEPOSITS_TOT_DEPOSITS_FFIEC" hidden="1">"c13910"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_CIQ_COL" hidden="1">"c11709"</definedName>
    <definedName name="IQ_DPS_GUIDANCE_CIQ" hidden="1">"c4827"</definedName>
    <definedName name="IQ_DPS_GUIDANCE_CIQ_COL" hidden="1">"c11474"</definedName>
    <definedName name="IQ_DPS_HIGH_GUIDANCE_CIQ" hidden="1">"c4580"</definedName>
    <definedName name="IQ_DPS_HIGH_GUIDANCE_CIQ_COL" hidden="1">"c11229"</definedName>
    <definedName name="IQ_DPS_LOW_GUIDANCE_CIQ" hidden="1">"c4620"</definedName>
    <definedName name="IQ_DPS_LOW_GUIDANCE_CIQ_COL" hidden="1">"c11269"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AVG_ASSETS_FFIEC" hidden="1">"c13354"</definedName>
    <definedName name="IQ_EARNING_ASSETS_QUARTERLY_AVG_FFIEC" hidden="1">"c13086"</definedName>
    <definedName name="IQ_EARNING_ASSETS_REPRICE_ASSETS_TOT_FFIEC" hidden="1">"c13451"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_FFIEC" hidden="1">"c13032"</definedName>
    <definedName name="IQ_EARNINGS_CONT_OPS_HOMEBUILDING_SALES" hidden="1">"c15817"</definedName>
    <definedName name="IQ_EARNINGS_COVERAGE_LOSSES_FFIEC" hidden="1">"c13351"</definedName>
    <definedName name="IQ_EARNINGS_LIFE_INSURANCE_FFIEC" hidden="1">"c13041"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_CIQ_COL" hidden="1">"c11710"</definedName>
    <definedName name="IQ_EBIT_EQ_INC" hidden="1">"c3498"</definedName>
    <definedName name="IQ_EBIT_EQ_INC_EXCL_SBC" hidden="1">"c3502"</definedName>
    <definedName name="IQ_EBIT_EXCL_SBC" hidden="1">"c3082"</definedName>
    <definedName name="IQ_EBIT_GUIDANCE_CIQ" hidden="1">"c4828"</definedName>
    <definedName name="IQ_EBIT_GUIDANCE_CIQ_COL" hidden="1">"c11475"</definedName>
    <definedName name="IQ_EBIT_GW_ACT_OR_EST" hidden="1">"c4306"</definedName>
    <definedName name="IQ_EBIT_GW_ACT_OR_EST_CIQ_COL" hidden="1">"c11478"</definedName>
    <definedName name="IQ_EBIT_GW_GUIDANCE" hidden="1">"c4307"</definedName>
    <definedName name="IQ_EBIT_GW_GUIDANCE_CIQ" hidden="1">"c4832"</definedName>
    <definedName name="IQ_EBIT_GW_GUIDANCE_CIQ_COL" hidden="1">"c11479"</definedName>
    <definedName name="IQ_EBIT_GW_HIGH_GUIDANCE" hidden="1">"c4171"</definedName>
    <definedName name="IQ_EBIT_GW_HIGH_GUIDANCE_CIQ" hidden="1">"c4583"</definedName>
    <definedName name="IQ_EBIT_GW_HIGH_GUIDANCE_CIQ_COL" hidden="1">"c11232"</definedName>
    <definedName name="IQ_EBIT_GW_LOW_GUIDANCE" hidden="1">"c4211"</definedName>
    <definedName name="IQ_EBIT_GW_LOW_GUIDANCE_CIQ" hidden="1">"c4623"</definedName>
    <definedName name="IQ_EBIT_GW_LOW_GUIDANCE_CIQ_COL" hidden="1">"c11272"</definedName>
    <definedName name="IQ_EBIT_HIGH_GUIDANCE_CIQ" hidden="1">"c4584"</definedName>
    <definedName name="IQ_EBIT_HIGH_GUIDANCE_CIQ_COL" hidden="1">"c11233"</definedName>
    <definedName name="IQ_EBIT_HOMEBUILDING_SALES" hidden="1">"c15815"</definedName>
    <definedName name="IQ_EBIT_INT" hidden="1">"c360"</definedName>
    <definedName name="IQ_EBIT_LOW_GUIDANCE_CIQ" hidden="1">"c4624"</definedName>
    <definedName name="IQ_EBIT_LOW_GUIDANCE_CIQ_COL" hidden="1">"c11273"</definedName>
    <definedName name="IQ_EBIT_MARGIN" hidden="1">"c359"</definedName>
    <definedName name="IQ_EBIT_OVER_IE" hidden="1">"c1369"</definedName>
    <definedName name="IQ_EBIT_SBC_ACT_OR_EST" hidden="1">"c4316"</definedName>
    <definedName name="IQ_EBIT_SBC_ACT_OR_EST_CIQ_COL" hidden="1">"c11488"</definedName>
    <definedName name="IQ_EBIT_SBC_GUIDANCE" hidden="1">"c4317"</definedName>
    <definedName name="IQ_EBIT_SBC_GUIDANCE_CIQ" hidden="1">"c4842"</definedName>
    <definedName name="IQ_EBIT_SBC_GUIDANCE_CIQ_COL" hidden="1">"c11489"</definedName>
    <definedName name="IQ_EBIT_SBC_GW_ACT_OR_EST" hidden="1">"c4320"</definedName>
    <definedName name="IQ_EBIT_SBC_GW_ACT_OR_EST_CIQ_COL" hidden="1">"c11492"</definedName>
    <definedName name="IQ_EBIT_SBC_GW_GUIDANCE" hidden="1">"c4321"</definedName>
    <definedName name="IQ_EBIT_SBC_GW_GUIDANCE_CIQ" hidden="1">"c4846"</definedName>
    <definedName name="IQ_EBIT_SBC_GW_GUIDANCE_CIQ_COL" hidden="1">"c11493"</definedName>
    <definedName name="IQ_EBIT_SBC_GW_HIGH_GUIDANCE" hidden="1">"c4193"</definedName>
    <definedName name="IQ_EBIT_SBC_GW_HIGH_GUIDANCE_CIQ" hidden="1">"c4605"</definedName>
    <definedName name="IQ_EBIT_SBC_GW_HIGH_GUIDANCE_CIQ_COL" hidden="1">"c11254"</definedName>
    <definedName name="IQ_EBIT_SBC_GW_LOW_GUIDANCE" hidden="1">"c4233"</definedName>
    <definedName name="IQ_EBIT_SBC_GW_LOW_GUIDANCE_CIQ" hidden="1">"c4645"</definedName>
    <definedName name="IQ_EBIT_SBC_GW_LOW_GUIDANCE_CIQ_COL" hidden="1">"c11294"</definedName>
    <definedName name="IQ_EBIT_SBC_HIGH_GUIDANCE" hidden="1">"c4192"</definedName>
    <definedName name="IQ_EBIT_SBC_HIGH_GUIDANCE_CIQ" hidden="1">"c4604"</definedName>
    <definedName name="IQ_EBIT_SBC_HIGH_GUIDANCE_CIQ_COL" hidden="1">"c11253"</definedName>
    <definedName name="IQ_EBIT_SBC_LOW_GUIDANCE" hidden="1">"c4232"</definedName>
    <definedName name="IQ_EBIT_SBC_LOW_GUIDANCE_CIQ" hidden="1">"c4644"</definedName>
    <definedName name="IQ_EBIT_SBC_LOW_GUIDANCE_CIQ_COL" hidden="1">"c11293"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CIQ_COL" hidden="1">"c11707"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_CIQ" hidden="1">"c4859"</definedName>
    <definedName name="IQ_EBITDA_GUIDANCE_CIQ_COL" hidden="1">"c11506"</definedName>
    <definedName name="IQ_EBITDA_HIGH_EST" hidden="1">"c370"</definedName>
    <definedName name="IQ_EBITDA_HIGH_EST_REUT" hidden="1">"c3642"</definedName>
    <definedName name="IQ_EBITDA_HIGH_GUIDANCE_CIQ" hidden="1">"c4582"</definedName>
    <definedName name="IQ_EBITDA_HIGH_GUIDANCE_CIQ_COL" hidden="1">"c11231"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_CIQ" hidden="1">"c4622"</definedName>
    <definedName name="IQ_EBITDA_LOW_GUIDANCE_CIQ_COL" hidden="1">"c11271"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ACT_OR_EST_CIQ_COL" hidden="1">"c11509"</definedName>
    <definedName name="IQ_EBITDA_SBC_GUIDANCE" hidden="1">"c4338"</definedName>
    <definedName name="IQ_EBITDA_SBC_GUIDANCE_CIQ" hidden="1">"c4863"</definedName>
    <definedName name="IQ_EBITDA_SBC_GUIDANCE_CIQ_COL" hidden="1">"c11510"</definedName>
    <definedName name="IQ_EBITDA_SBC_HIGH_GUIDANCE" hidden="1">"c4194"</definedName>
    <definedName name="IQ_EBITDA_SBC_HIGH_GUIDANCE_CIQ" hidden="1">"c4606"</definedName>
    <definedName name="IQ_EBITDA_SBC_HIGH_GUIDANCE_CIQ_COL" hidden="1">"c11255"</definedName>
    <definedName name="IQ_EBITDA_SBC_LOW_GUIDANCE" hidden="1">"c4234"</definedName>
    <definedName name="IQ_EBITDA_SBC_LOW_GUIDANCE_CIQ" hidden="1">"c4646"</definedName>
    <definedName name="IQ_EBITDA_SBC_LOW_GUIDANCE_CIQ_COL" hidden="1">"c11295"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FIEC" hidden="1">"c13029"</definedName>
    <definedName name="IQ_EBT_FIN" hidden="1">"c386"</definedName>
    <definedName name="IQ_EBT_FTE_FFIEC" hidden="1">"c13037"</definedName>
    <definedName name="IQ_EBT_GAAP_GUIDANCE_CIQ" hidden="1">"c4870"</definedName>
    <definedName name="IQ_EBT_GAAP_GUIDANCE_CIQ_COL" hidden="1">"c11517"</definedName>
    <definedName name="IQ_EBT_GAAP_HIGH_GUIDANCE_CIQ" hidden="1">"c4586"</definedName>
    <definedName name="IQ_EBT_GAAP_HIGH_GUIDANCE_CIQ_COL" hidden="1">"c11235"</definedName>
    <definedName name="IQ_EBT_GAAP_LOW_GUIDANCE_CIQ" hidden="1">"c4626"</definedName>
    <definedName name="IQ_EBT_GAAP_LOW_GUIDANCE_CIQ_COL" hidden="1">"c11275"</definedName>
    <definedName name="IQ_EBT_GUIDANCE_CIQ" hidden="1">"c4871"</definedName>
    <definedName name="IQ_EBT_GUIDANCE_CIQ_COL" hidden="1">"c11518"</definedName>
    <definedName name="IQ_EBT_GW_GUIDANCE_CIQ" hidden="1">"c4872"</definedName>
    <definedName name="IQ_EBT_GW_GUIDANCE_CIQ_COL" hidden="1">"c11519"</definedName>
    <definedName name="IQ_EBT_GW_HIGH_GUIDANCE_CIQ" hidden="1">"c4587"</definedName>
    <definedName name="IQ_EBT_GW_HIGH_GUIDANCE_CIQ_COL" hidden="1">"c11236"</definedName>
    <definedName name="IQ_EBT_GW_LOW_GUIDANCE_CIQ" hidden="1">"c4627"</definedName>
    <definedName name="IQ_EBT_GW_LOW_GUIDANCE_CIQ_COL" hidden="1">"c11276"</definedName>
    <definedName name="IQ_EBT_HIGH_GUIDANCE_CIQ" hidden="1">"c4585"</definedName>
    <definedName name="IQ_EBT_HIGH_GUIDANCE_CIQ_COL" hidden="1">"c11234"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_CIQ" hidden="1">"c4625"</definedName>
    <definedName name="IQ_EBT_LOW_GUIDANCE_CIQ_COL" hidden="1">"c11274"</definedName>
    <definedName name="IQ_EBT_RE" hidden="1">"c6215"</definedName>
    <definedName name="IQ_EBT_REIT" hidden="1">"c389"</definedName>
    <definedName name="IQ_EBT_SBC_ACT_OR_EST" hidden="1">"c4350"</definedName>
    <definedName name="IQ_EBT_SBC_ACT_OR_EST_CIQ_COL" hidden="1">"c11522"</definedName>
    <definedName name="IQ_EBT_SBC_GUIDANCE" hidden="1">"c4351"</definedName>
    <definedName name="IQ_EBT_SBC_GUIDANCE_CIQ" hidden="1">"c4876"</definedName>
    <definedName name="IQ_EBT_SBC_GUIDANCE_CIQ_COL" hidden="1">"c11523"</definedName>
    <definedName name="IQ_EBT_SBC_GW_ACT_OR_EST" hidden="1">"c4354"</definedName>
    <definedName name="IQ_EBT_SBC_GW_ACT_OR_EST_CIQ_COL" hidden="1">"c11526"</definedName>
    <definedName name="IQ_EBT_SBC_GW_GUIDANCE" hidden="1">"c4355"</definedName>
    <definedName name="IQ_EBT_SBC_GW_GUIDANCE_CIQ" hidden="1">"c4880"</definedName>
    <definedName name="IQ_EBT_SBC_GW_GUIDANCE_CIQ_COL" hidden="1">"c11527"</definedName>
    <definedName name="IQ_EBT_SBC_GW_HIGH_GUIDANCE" hidden="1">"c4191"</definedName>
    <definedName name="IQ_EBT_SBC_GW_HIGH_GUIDANCE_CIQ" hidden="1">"c4603"</definedName>
    <definedName name="IQ_EBT_SBC_GW_HIGH_GUIDANCE_CIQ_COL" hidden="1">"c11252"</definedName>
    <definedName name="IQ_EBT_SBC_GW_LOW_GUIDANCE" hidden="1">"c4231"</definedName>
    <definedName name="IQ_EBT_SBC_GW_LOW_GUIDANCE_CIQ" hidden="1">"c4643"</definedName>
    <definedName name="IQ_EBT_SBC_GW_LOW_GUIDANCE_CIQ_COL" hidden="1">"c11292"</definedName>
    <definedName name="IQ_EBT_SBC_HIGH_GUIDANCE" hidden="1">"c4190"</definedName>
    <definedName name="IQ_EBT_SBC_HIGH_GUIDANCE_CIQ" hidden="1">"c4602"</definedName>
    <definedName name="IQ_EBT_SBC_HIGH_GUIDANCE_CIQ_COL" hidden="1">"c11251"</definedName>
    <definedName name="IQ_EBT_SBC_LOW_GUIDANCE" hidden="1">"c4230"</definedName>
    <definedName name="IQ_EBT_SBC_LOW_GUIDANCE_CIQ" hidden="1">"c4642"</definedName>
    <definedName name="IQ_EBT_SBC_LOW_GUIDANCE_CIQ_COL" hidden="1">"c11291"</definedName>
    <definedName name="IQ_EBT_SUBTOTAL_AP" hidden="1">"c8982"</definedName>
    <definedName name="IQ_EBT_UTI" hidden="1">"c390"</definedName>
    <definedName name="IQ_ECO_METRIC_6825_UNUSED" hidden="1">"c6825"</definedName>
    <definedName name="IQ_ECO_METRIC_6839_UNUSED" hidden="1">"c6839"</definedName>
    <definedName name="IQ_ECO_METRIC_6896_UNUSED" hidden="1">"c6896"</definedName>
    <definedName name="IQ_ECO_METRIC_6897_UNUSED" hidden="1">"c6897"</definedName>
    <definedName name="IQ_ECO_METRIC_6927" hidden="1">"c6927"</definedName>
    <definedName name="IQ_ECO_METRIC_6988_UNUSED" hidden="1">"c6988"</definedName>
    <definedName name="IQ_ECO_METRIC_7045_UNUSED" hidden="1">"c7045"</definedName>
    <definedName name="IQ_ECO_METRIC_7059_UNUSED" hidden="1">"c7059"</definedName>
    <definedName name="IQ_ECO_METRIC_7116_UNUSED" hidden="1">"c7116"</definedName>
    <definedName name="IQ_ECO_METRIC_7117_UNUSED" hidden="1">"c7117"</definedName>
    <definedName name="IQ_ECO_METRIC_7147" hidden="1">"c7147"</definedName>
    <definedName name="IQ_ECO_METRIC_7208_UNUSED" hidden="1">"c7208"</definedName>
    <definedName name="IQ_ECO_METRIC_7265_UNUSED" hidden="1">"c7265"</definedName>
    <definedName name="IQ_ECO_METRIC_7279_UNUSED" hidden="1">"c7279"</definedName>
    <definedName name="IQ_ECO_METRIC_7336_UNUSED" hidden="1">"c7336"</definedName>
    <definedName name="IQ_ECO_METRIC_7337_UNUSED" hidden="1">"c7337"</definedName>
    <definedName name="IQ_ECO_METRIC_7367" hidden="1">"c7367"</definedName>
    <definedName name="IQ_ECO_METRIC_7428_UNUSED" hidden="1">"c7428"</definedName>
    <definedName name="IQ_ECO_METRIC_7556_UNUSED" hidden="1">"c7556"</definedName>
    <definedName name="IQ_ECO_METRIC_7557_UNUSED" hidden="1">"c7557"</definedName>
    <definedName name="IQ_ECO_METRIC_7587" hidden="1">"c7587"</definedName>
    <definedName name="IQ_ECO_METRIC_7648_UNUSED" hidden="1">"c7648"</definedName>
    <definedName name="IQ_ECO_METRIC_7704" hidden="1">"c7704"</definedName>
    <definedName name="IQ_ECO_METRIC_7705_UNUSED" hidden="1">"c7705"</definedName>
    <definedName name="IQ_ECO_METRIC_7706" hidden="1">"c7706"</definedName>
    <definedName name="IQ_ECO_METRIC_7718" hidden="1">"c7718"</definedName>
    <definedName name="IQ_ECO_METRIC_7719_UNUSED" hidden="1">"c7719"</definedName>
    <definedName name="IQ_ECO_METRIC_7776_UNUSED" hidden="1">"c7776"</definedName>
    <definedName name="IQ_ECO_METRIC_7777_UNUSED" hidden="1">"c7777"</definedName>
    <definedName name="IQ_ECO_METRIC_7807" hidden="1">"c7807"</definedName>
    <definedName name="IQ_ECO_METRIC_7811" hidden="1">"c7811"</definedName>
    <definedName name="IQ_ECO_METRIC_7868_UNUSED" hidden="1">"c7868"</definedName>
    <definedName name="IQ_ECO_METRIC_7873" hidden="1">"c7873"</definedName>
    <definedName name="IQ_ECO_METRIC_7924" hidden="1">"c7924"</definedName>
    <definedName name="IQ_ECO_METRIC_7925_UNUSED" hidden="1">"c7925"</definedName>
    <definedName name="IQ_ECO_METRIC_7926" hidden="1">"c7926"</definedName>
    <definedName name="IQ_ECO_METRIC_7938" hidden="1">"c7938"</definedName>
    <definedName name="IQ_ECO_METRIC_7939_UNUSED" hidden="1">"c7939"</definedName>
    <definedName name="IQ_ECO_METRIC_7996_UNUSED" hidden="1">"c7996"</definedName>
    <definedName name="IQ_ECO_METRIC_7997_UNUSED" hidden="1">"c7997"</definedName>
    <definedName name="IQ_ECO_METRIC_8027" hidden="1">"c8027"</definedName>
    <definedName name="IQ_ECO_METRIC_8031" hidden="1">"c8031"</definedName>
    <definedName name="IQ_ECO_METRIC_8088_UNUSED" hidden="1">"c8088"</definedName>
    <definedName name="IQ_ECO_METRIC_8093" hidden="1">"c8093"</definedName>
    <definedName name="IQ_ECO_METRIC_8144" hidden="1">"c8144"</definedName>
    <definedName name="IQ_ECO_METRIC_8145_UNUSED" hidden="1">"c8145"</definedName>
    <definedName name="IQ_ECO_METRIC_8146" hidden="1">"c8146"</definedName>
    <definedName name="IQ_ECO_METRIC_8158" hidden="1">"c8158"</definedName>
    <definedName name="IQ_ECO_METRIC_8159_UNUSED" hidden="1">"c8159"</definedName>
    <definedName name="IQ_ECO_METRIC_8216_UNUSED" hidden="1">"c8216"</definedName>
    <definedName name="IQ_ECO_METRIC_8217_UNUSED" hidden="1">"c8217"</definedName>
    <definedName name="IQ_ECO_METRIC_8247" hidden="1">"c8247"</definedName>
    <definedName name="IQ_ECO_METRIC_8251" hidden="1">"c8251"</definedName>
    <definedName name="IQ_ECO_METRIC_8308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" hidden="1">"c8436"</definedName>
    <definedName name="IQ_ECO_METRIC_8437_UNUSED" hidden="1">"c8437"</definedName>
    <definedName name="IQ_ECO_METRIC_8467" hidden="1">"c8467"</definedName>
    <definedName name="IQ_ECO_METRIC_8471" hidden="1">"c8471"</definedName>
    <definedName name="IQ_ECO_METRIC_8528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BENEFICIAL_BS_DATE" hidden="1">"c16234"</definedName>
    <definedName name="IQ_ECS_NUM_SHAREHOLDERS_BENEFICIAL_BS_DATE_ABS" hidden="1">"c16235"</definedName>
    <definedName name="IQ_ECS_NUM_SHAREHOLDERS_BENEFICIAL_BS_DATE_OTHER" hidden="1">"c16236"</definedName>
    <definedName name="IQ_ECS_NUM_SHAREHOLDERS_BENEFICIAL_BS_DATE_OTHER_ABS" hidden="1">"c16237"</definedName>
    <definedName name="IQ_ECS_NUM_SHAREHOLDERS_BENEFICIAL_FILING_DATE" hidden="1">"c16230"</definedName>
    <definedName name="IQ_ECS_NUM_SHAREHOLDERS_BENEFICIAL_FILING_DATE_ABS" hidden="1">"c16231"</definedName>
    <definedName name="IQ_ECS_NUM_SHAREHOLDERS_BENEFICIAL_FILING_DATE_OTHER" hidden="1">"c16232"</definedName>
    <definedName name="IQ_ECS_NUM_SHAREHOLDERS_BENEFICIAL_FILING_DATE_OTHER_ABS" hidden="1">"c16233"</definedName>
    <definedName name="IQ_ECS_NUM_SHAREHOLDERS_BS_DATE" hidden="1">"c16238"</definedName>
    <definedName name="IQ_ECS_NUM_SHAREHOLDERS_BS_DATE_ABS" hidden="1">"c16239"</definedName>
    <definedName name="IQ_ECS_NUM_SHAREHOLDERS_BS_DATE_OTHER" hidden="1">"c16240"</definedName>
    <definedName name="IQ_ECS_NUM_SHAREHOLDERS_BS_DATE_OTHER_ABS" hidden="1">"c16241"</definedName>
    <definedName name="IQ_ECS_NUM_SHAREHOLDERS_FILING_DATE" hidden="1">"c5584"</definedName>
    <definedName name="IQ_ECS_NUM_SHAREHOLDERS_FILING_DATE_ABS" hidden="1">"c5598"</definedName>
    <definedName name="IQ_ECS_NUM_SHAREHOLDERS_FILING_DATE_OTHER" hidden="1">"c15615"</definedName>
    <definedName name="IQ_ECS_NUM_SHAREHOLDERS_FILING_DATE_OTHER_ABS" hidden="1">"c15632"</definedName>
    <definedName name="IQ_ECS_NUM_SHAREHOLDERS_OTHER" hidden="1">"c16244"</definedName>
    <definedName name="IQ_ECS_NUM_SHAREHOLDERS_OTHER_ABS" hidden="1">"c16245"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ECTIVE_DATE" hidden="1">"c8966"</definedName>
    <definedName name="IQ_EFFICIENCY_RATIO" hidden="1">"c391"</definedName>
    <definedName name="IQ_ELIMINATIONS_CONSOL_OFFICES_FOREIGN_FFIEC" hidden="1">"c15395"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MPLOYEES_FFIEC" hidden="1">"c13035"</definedName>
    <definedName name="IQ_EMPLOYEES_UNDER_UNION_CONTRACTS" hidden="1">"c16109"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_COL" hidden="1">"c11705"</definedName>
    <definedName name="IQ_EPS_AP" hidden="1">"c8880"</definedName>
    <definedName name="IQ_EPS_AP_ABS" hidden="1">"c8899"</definedName>
    <definedName name="IQ_EPS_EST" hidden="1">"c399"</definedName>
    <definedName name="IQ_EPS_EST_REUT" hidden="1">"c5453"</definedName>
    <definedName name="IQ_EPS_EXCL_GUIDANCE_CIQ" hidden="1">"c4893"</definedName>
    <definedName name="IQ_EPS_EXCL_GUIDANCE_CIQ_COL" hidden="1">"c11540"</definedName>
    <definedName name="IQ_EPS_EXCL_HIGH_GUIDANCE_CIQ" hidden="1">"c4894"</definedName>
    <definedName name="IQ_EPS_EXCL_HIGH_GUIDANCE_CIQ_COL" hidden="1">"c11541"</definedName>
    <definedName name="IQ_EPS_EXCL_LOW_GUIDANCE_CIQ" hidden="1">"c4616"</definedName>
    <definedName name="IQ_EPS_EXCL_LOW_GUIDANCE_CIQ_COL" hidden="1">"c11265"</definedName>
    <definedName name="IQ_EPS_GAAP_GUIDANCE_CIQ" hidden="1">"c4895"</definedName>
    <definedName name="IQ_EPS_GAAP_GUIDANCE_CIQ_COL" hidden="1">"c11542"</definedName>
    <definedName name="IQ_EPS_GAAP_HIGH_GUIDANCE_CIQ" hidden="1">"c4896"</definedName>
    <definedName name="IQ_EPS_GAAP_HIGH_GUIDANCE_CIQ_COL" hidden="1">"c11543"</definedName>
    <definedName name="IQ_EPS_GAAP_LOW_GUIDANCE_CIQ" hidden="1">"c4617"</definedName>
    <definedName name="IQ_EPS_GAAP_LOW_GUIDANCE_CIQ_COL" hidden="1">"c11266"</definedName>
    <definedName name="IQ_EPS_GROWTH_GUIDANCE_CIQ" hidden="1">"c32283"</definedName>
    <definedName name="IQ_EPS_GROWTH_GUIDANCE_CIQ_COL" hidden="1">"c32286"</definedName>
    <definedName name="IQ_EPS_GROWTH_HIGH_GUIDANCE_CIQ" hidden="1">"c32284"</definedName>
    <definedName name="IQ_EPS_GROWTH_HIGH_GUIDANCE_CIQ_COL" hidden="1">"c32287"</definedName>
    <definedName name="IQ_EPS_GROWTH_LOW_GUIDANCE_CIQ" hidden="1">"c32285"</definedName>
    <definedName name="IQ_EPS_GROWTH_LOW_GUIDANCE_CIQ_COL" hidden="1">"c32288"</definedName>
    <definedName name="IQ_EPS_GW_GUIDANCE_CIQ" hidden="1">"c4897"</definedName>
    <definedName name="IQ_EPS_GW_GUIDANCE_CIQ_COL" hidden="1">"c11544"</definedName>
    <definedName name="IQ_EPS_GW_HIGH_GUIDANCE_CIQ" hidden="1">"c4898"</definedName>
    <definedName name="IQ_EPS_GW_HIGH_GUIDANCE_CIQ_COL" hidden="1">"c11545"</definedName>
    <definedName name="IQ_EPS_GW_LOW_GUIDANCE_CIQ" hidden="1">"c4618"</definedName>
    <definedName name="IQ_EPS_GW_LOW_GUIDANCE_CIQ_COL" hidden="1">"c11267"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UM_EST" hidden="1">"c402"</definedName>
    <definedName name="IQ_EPS_NUM_EST_REUT" hidden="1">"c5451"</definedName>
    <definedName name="IQ_EPS_SBC_ACT_OR_EST" hidden="1">"c4376"</definedName>
    <definedName name="IQ_EPS_SBC_ACT_OR_EST_CIQ_COL" hidden="1">"c11548"</definedName>
    <definedName name="IQ_EPS_SBC_GUIDANCE" hidden="1">"c4377"</definedName>
    <definedName name="IQ_EPS_SBC_GUIDANCE_CIQ" hidden="1">"c4902"</definedName>
    <definedName name="IQ_EPS_SBC_GUIDANCE_CIQ_COL" hidden="1">"c11549"</definedName>
    <definedName name="IQ_EPS_SBC_GW_ACT_OR_EST" hidden="1">"c4380"</definedName>
    <definedName name="IQ_EPS_SBC_GW_ACT_OR_EST_CIQ_COL" hidden="1">"c11552"</definedName>
    <definedName name="IQ_EPS_SBC_GW_GUIDANCE" hidden="1">"c4381"</definedName>
    <definedName name="IQ_EPS_SBC_GW_GUIDANCE_CIQ" hidden="1">"c4906"</definedName>
    <definedName name="IQ_EPS_SBC_GW_GUIDANCE_CIQ_COL" hidden="1">"c11553"</definedName>
    <definedName name="IQ_EPS_SBC_GW_HIGH_GUIDANCE" hidden="1">"c4189"</definedName>
    <definedName name="IQ_EPS_SBC_GW_HIGH_GUIDANCE_CIQ" hidden="1">"c4601"</definedName>
    <definedName name="IQ_EPS_SBC_GW_HIGH_GUIDANCE_CIQ_COL" hidden="1">"c11250"</definedName>
    <definedName name="IQ_EPS_SBC_GW_LOW_GUIDANCE" hidden="1">"c4229"</definedName>
    <definedName name="IQ_EPS_SBC_GW_LOW_GUIDANCE_CIQ" hidden="1">"c4641"</definedName>
    <definedName name="IQ_EPS_SBC_GW_LOW_GUIDANCE_CIQ_COL" hidden="1">"c11290"</definedName>
    <definedName name="IQ_EPS_SBC_HIGH_GUIDANCE" hidden="1">"c4188"</definedName>
    <definedName name="IQ_EPS_SBC_HIGH_GUIDANCE_CIQ" hidden="1">"c4600"</definedName>
    <definedName name="IQ_EPS_SBC_HIGH_GUIDANCE_CIQ_COL" hidden="1">"c11249"</definedName>
    <definedName name="IQ_EPS_SBC_LOW_GUIDANCE" hidden="1">"c4228"</definedName>
    <definedName name="IQ_EPS_SBC_LOW_GUIDANCE_CIQ" hidden="1">"c4640"</definedName>
    <definedName name="IQ_EPS_SBC_LOW_GUIDANCE_CIQ_COL" hidden="1">"c11289"</definedName>
    <definedName name="IQ_EPS_STDDEV_EST" hidden="1">"c403"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ASSETS_TOT_FFIEC" hidden="1">"c13436"</definedName>
    <definedName name="IQ_EQUITY_BEG_EXCL_FFIEC" hidden="1">"c12957"</definedName>
    <definedName name="IQ_EQUITY_BEG_FFIEC" hidden="1">"c12959"</definedName>
    <definedName name="IQ_EQUITY_CAPITAL_QUARTERLY_AVG_FFIEC" hidden="1">"c13092"</definedName>
    <definedName name="IQ_EQUITY_ENDING_FFIEC" hidden="1">"c12973"</definedName>
    <definedName name="IQ_EQUITY_INDEX_EXPOSURE_FFIEC" hidden="1">"c13060"</definedName>
    <definedName name="IQ_EQUITY_LIST" hidden="1">"c15158"</definedName>
    <definedName name="IQ_EQUITY_METHOD" hidden="1">"c404"</definedName>
    <definedName name="IQ_EQUITY_NAME_AP" hidden="1">"c8925"</definedName>
    <definedName name="IQ_EQUITY_NAME_AP_ABS" hidden="1">"c8944"</definedName>
    <definedName name="IQ_EQUITY_SEC_FAIR_VALUE_AFS_AMORT_COST_FFIEC" hidden="1">"c20505"</definedName>
    <definedName name="IQ_EQUITY_SEC_FAIR_VALUE_AFS_FAIR_VAL_FFIEC" hidden="1">"c20470"</definedName>
    <definedName name="IQ_EQUITY_SEC_FAIR_VALUE_FFIEC" hidden="1">"c12805"</definedName>
    <definedName name="IQ_EQUITY_SEC_INVEST_SECURITIES_FFIEC" hidden="1">"c13463"</definedName>
    <definedName name="IQ_EQUITY_SECURITIES_QUARTERLY_AVG_FFIEC" hidden="1">"c15474"</definedName>
    <definedName name="IQ_EQUITY_SECURITIES_WITHOUT_FAIR_VALUES_FFIEC" hidden="1">"c12846"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"c1390"</definedName>
    <definedName name="IQ_ESOP_DEBT" hidden="1">"c1597"</definedName>
    <definedName name="IQ_ESOP_DEBT_GUARANTEED_FFIEC" hidden="1">"c12971"</definedName>
    <definedName name="IQ_ESOP_OVER_TOTAL" hidden="1">"c13768"</definedName>
    <definedName name="IQ_EST_ACT_DISTRIBUTABLE_CASH_CIQ_COL" hidden="1">"c11568"</definedName>
    <definedName name="IQ_EST_ACT_FFO_CIQ_COL" hidden="1">"c11579"</definedName>
    <definedName name="IQ_EST_CASH_FLOW_DIFF_CIQ_COL" hidden="1">"c11213"</definedName>
    <definedName name="IQ_EST_CASH_FLOW_SURPRISE_PERCENT_CIQ_COL" hidden="1">"c11222"</definedName>
    <definedName name="IQ_EST_CASH_OPER_DIFF_CIQ_COL" hidden="1">"c11223"</definedName>
    <definedName name="IQ_EST_CASH_OPER_SURPRISE_PERCENT_CIQ_COL" hidden="1">"c11421"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_CIQ_COL" hidden="1">"c11448"</definedName>
    <definedName name="IQ_EST_DISTRIBUTABLE_CASH_GROWTH_1YR_CIQ_COL" hidden="1">"c11585"</definedName>
    <definedName name="IQ_EST_DISTRIBUTABLE_CASH_GROWTH_2YR_CIQ_COL" hidden="1">"c11586"</definedName>
    <definedName name="IQ_EST_DISTRIBUTABLE_CASH_GROWTH_Q_1YR_CIQ_COL" hidden="1">"c11587"</definedName>
    <definedName name="IQ_EST_DISTRIBUTABLE_CASH_SEQ_GROWTH_Q_CIQ_COL" hidden="1">"c11588"</definedName>
    <definedName name="IQ_EST_DISTRIBUTABLE_CASH_SHARE_DIFF_CIQ_COL" hidden="1">"c11456"</definedName>
    <definedName name="IQ_EST_DISTRIBUTABLE_CASH_SHARE_GROWTH_1YR_CIQ_COL" hidden="1">"c11589"</definedName>
    <definedName name="IQ_EST_DISTRIBUTABLE_CASH_SHARE_GROWTH_2YR_CIQ_COL" hidden="1">"c11590"</definedName>
    <definedName name="IQ_EST_DISTRIBUTABLE_CASH_SHARE_GROWTH_Q_1YR_CIQ_COL" hidden="1">"c11591"</definedName>
    <definedName name="IQ_EST_DISTRIBUTABLE_CASH_SHARE_SEQ_GROWTH_Q_CIQ_COL" hidden="1">"c11592"</definedName>
    <definedName name="IQ_EST_DISTRIBUTABLE_CASH_SHARE_SURPRISE_PERCENT_CIQ_COL" hidden="1">"c11465"</definedName>
    <definedName name="IQ_EST_DISTRIBUTABLE_CASH_SURPRISE_PERCENT_CIQ_COL" hidden="1">"c11467"</definedName>
    <definedName name="IQ_EST_EBIT_GW_DIFF_CIQ_COL" hidden="1">"c11476"</definedName>
    <definedName name="IQ_EST_EBIT_GW_SURPRISE_PERCENT_CIQ_COL" hidden="1">"c11485"</definedName>
    <definedName name="IQ_EST_EBIT_SBC_DIFF_CIQ_COL" hidden="1">"c11486"</definedName>
    <definedName name="IQ_EST_EBIT_SBC_GW_DIFF_CIQ_COL" hidden="1">"c11490"</definedName>
    <definedName name="IQ_EST_EBIT_SBC_GW_SURPRISE_PERCENT_CIQ_COL" hidden="1">"c11499"</definedName>
    <definedName name="IQ_EST_EBIT_SBC_SURPRISE_PERCENT_CIQ_COL" hidden="1">"c11505"</definedName>
    <definedName name="IQ_EST_EBITDA_SBC_DIFF_CIQ_COL" hidden="1">"c11507"</definedName>
    <definedName name="IQ_EST_EBITDA_SBC_SURPRISE_PERCENT_CIQ_COL" hidden="1">"c11516"</definedName>
    <definedName name="IQ_EST_EBT_SBC_DIFF_CIQ_COL" hidden="1">"c11520"</definedName>
    <definedName name="IQ_EST_EBT_SBC_GW_DIFF_CIQ_COL" hidden="1">"c11524"</definedName>
    <definedName name="IQ_EST_EBT_SBC_GW_SURPRISE_PERCENT_CIQ_COL" hidden="1">"c11533"</definedName>
    <definedName name="IQ_EST_EBT_SBC_SURPRISE_PERCENT_CIQ_COL" hidden="1">"c11539"</definedName>
    <definedName name="IQ_EST_EPS_GROWTH_1YR" hidden="1">"c1636"</definedName>
    <definedName name="IQ_EST_EPS_GROWTH_1YR_REUT" hidden="1">"c3646"</definedName>
    <definedName name="IQ_EST_EPS_GROWTH_5YR" hidden="1">"c1655"</definedName>
    <definedName name="IQ_EST_EPS_GROWTH_5YR_REUT" hidden="1">"c3633"</definedName>
    <definedName name="IQ_EST_EPS_GROWTH_Q_1YR" hidden="1">"c1641"</definedName>
    <definedName name="IQ_EST_EPS_GROWTH_Q_1YR_REUT" hidden="1">"c5410"</definedName>
    <definedName name="IQ_EST_EPS_SBC_DIFF_CIQ_COL" hidden="1">"c11546"</definedName>
    <definedName name="IQ_EST_EPS_SBC_GW_DIFF_CIQ_COL" hidden="1">"c11550"</definedName>
    <definedName name="IQ_EST_EPS_SBC_GW_SURPRISE_PERCENT_CIQ_COL" hidden="1">"c11559"</definedName>
    <definedName name="IQ_EST_EPS_SBC_SURPRISE_PERCENT_CIQ_COL" hidden="1">"c11565"</definedName>
    <definedName name="IQ_EST_FAIR_VALUE_MORT_SERVICING_ASSETS_FFIEC" hidden="1">"c12956"</definedName>
    <definedName name="IQ_EST_FFO_ADJ_DIFF_CIQ_COL" hidden="1">"c11605"</definedName>
    <definedName name="IQ_EST_FFO_ADJ_GROWTH_1YR_CIQ_COL" hidden="1">"c11593"</definedName>
    <definedName name="IQ_EST_FFO_ADJ_GROWTH_2YR_CIQ_COL" hidden="1">"c11594"</definedName>
    <definedName name="IQ_EST_FFO_ADJ_GROWTH_Q_1YR_CIQ_COL" hidden="1">"c11595"</definedName>
    <definedName name="IQ_EST_FFO_ADJ_SEQ_GROWTH_Q_CIQ_COL" hidden="1">"c11596"</definedName>
    <definedName name="IQ_EST_FFO_ADJ_SURPRISE_PERCENT_CIQ_COL" hidden="1">"c11614"</definedName>
    <definedName name="IQ_EST_FFO_DIFF_CIQ_COL" hidden="1">"c11616"</definedName>
    <definedName name="IQ_EST_FFO_GROWTH_1YR_CIQ_COL" hidden="1">"c11597"</definedName>
    <definedName name="IQ_EST_FFO_GROWTH_2YR_CIQ_COL" hidden="1">"c11598"</definedName>
    <definedName name="IQ_EST_FFO_GROWTH_Q_1YR_CIQ_COL" hidden="1">"c11599"</definedName>
    <definedName name="IQ_EST_FFO_SEQ_GROWTH_Q_CIQ_COL" hidden="1">"c11600"</definedName>
    <definedName name="IQ_EST_FFO_SURPRISE_PERCENT_CIQ_COL" hidden="1">"c11629"</definedName>
    <definedName name="IQ_EST_MAINT_CAPEX_DIFF_CIQ_COL" hidden="1">"c11632"</definedName>
    <definedName name="IQ_EST_MAINT_CAPEX_GROWTH_1YR_CIQ_COL" hidden="1">"c11601"</definedName>
    <definedName name="IQ_EST_MAINT_CAPEX_GROWTH_2YR_CIQ_COL" hidden="1">"c11602"</definedName>
    <definedName name="IQ_EST_MAINT_CAPEX_GROWTH_Q_1YR_CIQ_COL" hidden="1">"c11603"</definedName>
    <definedName name="IQ_EST_MAINT_CAPEX_SEQ_GROWTH_Q_CIQ_COL" hidden="1">"c11604"</definedName>
    <definedName name="IQ_EST_MAINT_CAPEX_SURPRISE_PERCENT_CIQ_COL" hidden="1">"c11650"</definedName>
    <definedName name="IQ_EST_NEXT_EARNINGS_DATE" hidden="1">"c13591"</definedName>
    <definedName name="IQ_EST_NI_SBC_DIFF_CIQ_COL" hidden="1">"c11657"</definedName>
    <definedName name="IQ_EST_NI_SBC_GW_DIFF_CIQ_COL" hidden="1">"c11661"</definedName>
    <definedName name="IQ_EST_NI_SBC_GW_SURPRISE_PERCENT_CIQ_COL" hidden="1">"c11670"</definedName>
    <definedName name="IQ_EST_NI_SBC_SURPRISE_PERCENT_CIQ_COL" hidden="1">"c11676"</definedName>
    <definedName name="IQ_EST_PERIOD_ID" hidden="1">"c13923"</definedName>
    <definedName name="IQ_EST_RECURRING_PROFIT_SHARE_DIFF_CIQ_COL" hidden="1">"c11690"</definedName>
    <definedName name="IQ_EST_RECURRING_PROFIT_SHARE_SURPRISE_PERCENT_CIQ_COL" hidden="1">"c11700"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DATE" hidden="1">"c13819"</definedName>
    <definedName name="IQ_EVENT_EMAIL" hidden="1">"c19162"</definedName>
    <definedName name="IQ_EVENT_ID" hidden="1">"c13818"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VENT_TIME" hidden="1">"c13820"</definedName>
    <definedName name="IQ_EVENT_TYPE" hidden="1">"c13821"</definedName>
    <definedName name="IQ_EXCEL_DATA_METHOD" hidden="1">"c16229"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REIMBURSEMENTS" hidden="1">"c16020"</definedName>
    <definedName name="IQ_EXPENSES_AP" hidden="1">"c8875"</definedName>
    <definedName name="IQ_EXPENSES_AP_ABS" hidden="1">"c8894"</definedName>
    <definedName name="IQ_EXPENSES_FIXED_ASSETS_FFIEC" hidden="1">"c13024"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LORE_DRILL_EXP_TOTAL" hidden="1">"c13850"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" hidden="1">"c8401"</definedName>
    <definedName name="IQ_EXPORTS_APR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" hidden="1">"c8512"</definedName>
    <definedName name="IQ_EXPORTS_GOODS_REAL_SAAR_APR_UNUSED" hidden="1">"c7632"</definedName>
    <definedName name="IQ_EXPORTS_GOODS_REAL_SAAR_FC_UNUSED" hidden="1">"c7852"</definedName>
    <definedName name="IQ_EXPORTS_GOODS_REAL_SAAR_POP" hidden="1">"c11931"</definedName>
    <definedName name="IQ_EXPORTS_GOODS_REAL_SAAR_POP_FC_UNUSED" hidden="1">"c8072"</definedName>
    <definedName name="IQ_EXPORTS_GOODS_REAL_SAAR_POP_UNUSED" hidden="1">"c7192"</definedName>
    <definedName name="IQ_EXPORTS_GOODS_REAL_SAAR_UNUSED" hidden="1">"c6972"</definedName>
    <definedName name="IQ_EXPORTS_GOODS_REAL_SAAR_YOY" hidden="1">"c11932"</definedName>
    <definedName name="IQ_EXPORTS_GOODS_REAL_SAAR_YOY_FC_UNUSED" hidden="1">"c8292"</definedName>
    <definedName name="IQ_EXPORTS_GOODS_REAL_SAAR_YOY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" hidden="1">"c7961"</definedName>
    <definedName name="IQ_EXPORTS_POP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" hidden="1">"c8516"</definedName>
    <definedName name="IQ_EXPORTS_SERVICES_REAL_SAAR_APR_UNUSED" hidden="1">"c7636"</definedName>
    <definedName name="IQ_EXPORTS_SERVICES_REAL_SAAR_FC_UNUSED" hidden="1">"c7856"</definedName>
    <definedName name="IQ_EXPORTS_SERVICES_REAL_SAAR_POP" hidden="1">"c11935"</definedName>
    <definedName name="IQ_EXPORTS_SERVICES_REAL_SAAR_POP_FC_UNUSED" hidden="1">"c8076"</definedName>
    <definedName name="IQ_EXPORTS_SERVICES_REAL_SAAR_POP_UNUSED" hidden="1">"c7196"</definedName>
    <definedName name="IQ_EXPORTS_SERVICES_REAL_SAAR_UNUSED" hidden="1">"c6976"</definedName>
    <definedName name="IQ_EXPORTS_SERVICES_REAL_SAAR_YOY" hidden="1">"c11936"</definedName>
    <definedName name="IQ_EXPORTS_SERVICES_REAL_SAAR_YOY_FC_UNUSED" hidden="1">"c8296"</definedName>
    <definedName name="IQ_EXPORTS_SERVICES_REAL_SAAR_YOY_UNUSED" hidden="1">"c7416"</definedName>
    <definedName name="IQ_EXPORTS_SERVICES_REAL_YOY" hidden="1">"c7417"</definedName>
    <definedName name="IQ_EXPORTS_SERVICES_REAL_YOY_FC" hidden="1">"c8297"</definedName>
    <definedName name="IQ_EXPORTS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" hidden="1">"c8181"</definedName>
    <definedName name="IQ_EXPORTS_YOY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AVG_ASSETS_FFIEC" hidden="1">"c13369"</definedName>
    <definedName name="IQ_EXTRA_ITEMS" hidden="1">"c1459"</definedName>
    <definedName name="IQ_EXTRA_ITEMS_OTHER_ADJUSTMENTS_FOREIGN_FFIEC" hidden="1">"c15392"</definedName>
    <definedName name="IQ_EXTRAORDINARY_ITEMS_FFIEC" hidden="1">"c13033"</definedName>
    <definedName name="IQ_FAD" hidden="1">"c8757"</definedName>
    <definedName name="IQ_FAD_PAYOUT_RATIO" hidden="1">"c8872"</definedName>
    <definedName name="IQ_FAIR_VALUE_CHANGE_INCL_EARNINGS" hidden="1">"c13849"</definedName>
    <definedName name="IQ_FAIR_VALUE_DEBT" hidden="1">"c16007"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TOT_LOANS_FFIEC" hidden="1">"c13870"</definedName>
    <definedName name="IQ_FARMLAND_DOM_FFIEC" hidden="1">"c15268"</definedName>
    <definedName name="IQ_FDIC" hidden="1">"c417"</definedName>
    <definedName name="IQ_FDIC_CERT_NUMBER_FFIEC" hidden="1">"c20507"</definedName>
    <definedName name="IQ_FDIC_DEPOSIT_INSURANCE_FFIEC" hidden="1">"c13053"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_PURCHASED_SEC_SOLD_REPURCHASE_FFIEC" hidden="1">"c15489"</definedName>
    <definedName name="IQ_FED_FUND_SOLD_SEC_PURCHASED_RESELL_FFIEC" hidden="1">"c15488"</definedName>
    <definedName name="IQ_FED_FUNDS_AVAIL" hidden="1">"c2523"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DOM_FFIEC" hidden="1">"c12856"</definedName>
    <definedName name="IQ_FED_FUNDS_PURCHASED_QUARTERLY_AVG_FFIEC" hidden="1">"c13090"</definedName>
    <definedName name="IQ_FED_FUNDS_SOLD_DOM_FFIEC" hidden="1">"c12806"</definedName>
    <definedName name="IQ_FED_FUNDS_SOLD_QUARTERLY_AVG_FFIEC" hidden="1">"c13080"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COMMISSIONS_BROKERAGE_FFIEC" hidden="1">"c13005"</definedName>
    <definedName name="IQ_FEES_OTHER_INCOME" hidden="1">"c15257"</definedName>
    <definedName name="IQ_FFO" hidden="1">"c1574"</definedName>
    <definedName name="IQ_FFO_ADJ_ACT_OR_EST" hidden="1">"c4435"</definedName>
    <definedName name="IQ_FFO_ADJ_ACT_OR_EST_CIQ_COL" hidden="1">"c11607"</definedName>
    <definedName name="IQ_FFO_ADJ_GUIDANCE_CIQ" hidden="1">"c4961"</definedName>
    <definedName name="IQ_FFO_ADJ_GUIDANCE_CIQ_COL" hidden="1">"c11608"</definedName>
    <definedName name="IQ_FFO_ADJ_HIGH_GUIDANCE_CIQ" hidden="1">"c4614"</definedName>
    <definedName name="IQ_FFO_ADJ_HIGH_GUIDANCE_CIQ_COL" hidden="1">"c11263"</definedName>
    <definedName name="IQ_FFO_ADJ_LOW_GUIDANCE_CIQ" hidden="1">"c4654"</definedName>
    <definedName name="IQ_FFO_ADJ_LOW_GUIDANCE_CIQ_COL" hidden="1">"c11303"</definedName>
    <definedName name="IQ_FFO_DILUTED" hidden="1">"c16186"</definedName>
    <definedName name="IQ_FFO_EST_CIQ_COL" hidden="1">"c11617"</definedName>
    <definedName name="IQ_FFO_GUIDANCE_CIQ" hidden="1">"c4968"</definedName>
    <definedName name="IQ_FFO_GUIDANCE_CIQ_COL" hidden="1">"c11615"</definedName>
    <definedName name="IQ_FFO_HIGH_EST_CIQ_COL" hidden="1">"c11624"</definedName>
    <definedName name="IQ_FFO_HIGH_GUIDANCE_CIQ" hidden="1">"c4596"</definedName>
    <definedName name="IQ_FFO_HIGH_GUIDANCE_CIQ_COL" hidden="1">"c11245"</definedName>
    <definedName name="IQ_FFO_LOW_EST_CIQ_COL" hidden="1">"c11625"</definedName>
    <definedName name="IQ_FFO_LOW_GUIDANCE_CIQ" hidden="1">"c4636"</definedName>
    <definedName name="IQ_FFO_LOW_GUIDANCE_CIQ_COL" hidden="1">"c11285"</definedName>
    <definedName name="IQ_FFO_MEDIAN_EST_CIQ_COL" hidden="1">"c11626"</definedName>
    <definedName name="IQ_FFO_NUM_EST_CIQ_COL" hidden="1">"c11627"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" hidden="1">"c4446"</definedName>
    <definedName name="IQ_FFO_SHARE_ACT_OR_EST_CIQ_COL" hidden="1">"c11618"</definedName>
    <definedName name="IQ_FFO_SHARE_GUIDANCE_CIQ" hidden="1">"c4976"</definedName>
    <definedName name="IQ_FFO_SHARE_GUIDANCE_CIQ_COL" hidden="1">"c11623"</definedName>
    <definedName name="IQ_FFO_SHARE_HIGH_GUIDANCE_CIQ" hidden="1">"c4615"</definedName>
    <definedName name="IQ_FFO_SHARE_HIGH_GUIDANCE_CIQ_COL" hidden="1">"c11264"</definedName>
    <definedName name="IQ_FFO_SHARE_LOW_GUIDANCE_CIQ" hidden="1">"c4655"</definedName>
    <definedName name="IQ_FFO_SHARE_LOW_GUIDANCE_CIQ_COL" hidden="1">"c11304"</definedName>
    <definedName name="IQ_FFO_SHARES_BASIC" hidden="1">"c16185"</definedName>
    <definedName name="IQ_FFO_SHARES_DILUTED" hidden="1">"c16187"</definedName>
    <definedName name="IQ_FFO_STDDEV_EST_CIQ_COL" hidden="1">"c11628"</definedName>
    <definedName name="IQ_FFO_TOTAL_REVENUE" hidden="1">"c16060"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INCOME_OPERATING_INC_FFIEC" hidden="1">"c13383"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ARCHITECTURE" hidden="1">"c20386"</definedName>
    <definedName name="IQ_FIN_COLLECTION_ID" hidden="1">"c13922"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_INSTANCE_ID" hidden="1">"c13921"</definedName>
    <definedName name="IQ_FIN_PERIOD_ID" hidden="1">"c13920"</definedName>
    <definedName name="IQ_FINANCIAL_LOC_FOREIGN_GUARANTEES_FFIEC" hidden="1">"c13249"</definedName>
    <definedName name="IQ_FINANCIAL_SERVICING_ASSETS_FAIR_VALUE_TOT_FFIEC" hidden="1">"c13212"</definedName>
    <definedName name="IQ_FINANCIAL_SERVICING_ASSETS_LEVEL_1_FFIEC" hidden="1">"c13220"</definedName>
    <definedName name="IQ_FINANCIAL_SERVICING_ASSETS_LEVEL_2_FFIEC" hidden="1">"c13228"</definedName>
    <definedName name="IQ_FINANCIAL_SERVICING_ASSETS_LEVEL_3_FFIEC" hidden="1">"c13236"</definedName>
    <definedName name="IQ_FINANCIAL_SERVICING_LIAB_FAIR_VALUE_TOT_FFIEC" hidden="1">"c13215"</definedName>
    <definedName name="IQ_FINANCIAL_SERVICING_LIAB_LEVEL_1_FFIEC" hidden="1">"c13223"</definedName>
    <definedName name="IQ_FINANCIAL_SERVICING_LIAB_LEVEL_2_FFIEC" hidden="1">"c13231"</definedName>
    <definedName name="IQ_FINANCIAL_SERVICING_LIAB_LEVEL_3_FFIEC" hidden="1">"c13239"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_CIQ_COL" hidden="1">"c11741"</definedName>
    <definedName name="IQ_FISCAL_Y" hidden="1">"c441"</definedName>
    <definedName name="IQ_FISCAL_Y_EST_CIQ_COL" hidden="1">"c11742"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PERCENT_PERCENT" hidden="1">"c443"</definedName>
    <definedName name="IQ_FIVEPERCENT_SHARES" hidden="1">"c444"</definedName>
    <definedName name="IQ_FIX_FREQUENCY" hidden="1">"c8964"</definedName>
    <definedName name="IQ_FIXED_ASSET_TURNS" hidden="1">"c445"</definedName>
    <definedName name="IQ_FIXED_INCOME_LIST" hidden="1">"c13504"</definedName>
    <definedName name="IQ_FIXED_INVEST_APR_FC_UNUSED" hidden="1">"c8410"</definedName>
    <definedName name="IQ_FIXED_INVEST_APR_UNUSED" hidden="1">"c7530"</definedName>
    <definedName name="IQ_FIXED_INVEST_FC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" hidden="1">"c7970"</definedName>
    <definedName name="IQ_FIXED_INVEST_POP_UNUSED" hidden="1">"c7090"</definedName>
    <definedName name="IQ_FIXED_INVEST_REAL_APR_FC_UNUSED" hidden="1">"c8518"</definedName>
    <definedName name="IQ_FIXED_INVEST_REAL_APR_UNUSED" hidden="1">"c7638"</definedName>
    <definedName name="IQ_FIXED_INVEST_REAL_FC_UNUSED" hidden="1">"c7858"</definedName>
    <definedName name="IQ_FIXED_INVEST_REAL_POP_FC_UNUSED" hidden="1">"c8078"</definedName>
    <definedName name="IQ_FIXED_INVEST_REAL_POP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" hidden="1">"c8298"</definedName>
    <definedName name="IQ_FIXED_INVEST_REAL_YOY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" hidden="1">"c8190"</definedName>
    <definedName name="IQ_FIXED_INVEST_YOY_UNUSED" hidden="1">"c7310"</definedName>
    <definedName name="IQ_FLOAT" hidden="1">"c17421"</definedName>
    <definedName name="IQ_FLOAT_PERCENT" hidden="1">"c1575"</definedName>
    <definedName name="IQ_FORECLOSED_PROP_GNMA_LOANS_FFIEC" hidden="1">"c15272"</definedName>
    <definedName name="IQ_FOREIGN_BANKS_DUE_30_89_FFIEC" hidden="1">"c13269"</definedName>
    <definedName name="IQ_FOREIGN_BANKS_DUE_90_FFIEC" hidden="1">"c13295"</definedName>
    <definedName name="IQ_FOREIGN_BANKS_NON_ACCRUAL_FFIEC" hidden="1">"c13321"</definedName>
    <definedName name="IQ_FOREIGN_DEP_IB" hidden="1">"c446"</definedName>
    <definedName name="IQ_FOREIGN_DEP_NON_IB" hidden="1">"c447"</definedName>
    <definedName name="IQ_FOREIGN_DEPOSITS_ASSETS_TOT_FFIEC" hidden="1">"c13445"</definedName>
    <definedName name="IQ_FOREIGN_DEPOSITS_TOT_FFIEC" hidden="1">"c13486"</definedName>
    <definedName name="IQ_FOREIGN_DEPOSITS_TOTAL_DEPOSITS" hidden="1">"c15719"</definedName>
    <definedName name="IQ_FOREIGN_EXCHANGE" hidden="1">"c1376"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L_REC_FFIEC" hidden="1">"c12892"</definedName>
    <definedName name="IQ_FOREIGN_LOANS" hidden="1">"c448"</definedName>
    <definedName name="IQ_FOREIGN_LOANS_LEASES_FOREIGN_FFIEC" hidden="1">"c13478"</definedName>
    <definedName name="IQ_FOREIGN_LOANS_TOTAL_LOANS" hidden="1">"c15714"</definedName>
    <definedName name="IQ_FOUNDATION_OVER_TOTAL" hidden="1">"c13769"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ND_ANALYSIS" hidden="1">"c19198"</definedName>
    <definedName name="IQ_FUND_AUTHORIZED_SALE" hidden="1">"c19199"</definedName>
    <definedName name="IQ_FUND_BENCHMARK" hidden="1">"c19200"</definedName>
    <definedName name="IQ_FUND_BENCHMARK_ID" hidden="1">"c19201"</definedName>
    <definedName name="IQ_FUND_DISCOUNT_OR_PREMIUM" hidden="1">"c19242"</definedName>
    <definedName name="IQ_FUND_FEE_INC_NON_INT_INC_FFIEC" hidden="1">"c13493"</definedName>
    <definedName name="IQ_FUND_GEOGRAPHIC_MANDATE" hidden="1">"c19195"</definedName>
    <definedName name="IQ_FUND_MARKET_CAP_EMPHASIS" hidden="1">"c19197"</definedName>
    <definedName name="IQ_FUND_NAV" hidden="1">"c15225"</definedName>
    <definedName name="IQ_FUND_PRIMARY_ADVISOR" hidden="1">"c19091"</definedName>
    <definedName name="IQ_FUND_SECTOR_EMPHASIS" hidden="1">"c19196"</definedName>
    <definedName name="IQ_FUND_VEHICLE_TYPE" hidden="1">"c19194"</definedName>
    <definedName name="IQ_FUNDING_DEPENDENCE_FFIEC" hidden="1">"c13336"</definedName>
    <definedName name="IQ_FUNDING_DEPENDENCE_ST_FFIEC" hidden="1">"c13337"</definedName>
    <definedName name="IQ_FUNDS_PURCHASED_ASSETS_TOT_FFIEC" hidden="1">"c13446"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FIEC" hidden="1">"c13125"</definedName>
    <definedName name="IQ_FX_EXPOSURE_FFIEC" hidden="1">"c13059"</definedName>
    <definedName name="IQ_FY" hidden="1">1000</definedName>
    <definedName name="IQ_GA_EXP" hidden="1">"c2241"</definedName>
    <definedName name="IQ_GAAP_BS" hidden="1">"c6789"</definedName>
    <definedName name="IQ_GAAP_CF" hidden="1">"c6790"</definedName>
    <definedName name="IQ_GAAP_COMBINED_RATIO" hidden="1">"c2781"</definedName>
    <definedName name="IQ_GAAP_COMBINED_RATIO_EXCL_CL" hidden="1">"c2782"</definedName>
    <definedName name="IQ_GAAP_EXPENSE_RATIO" hidden="1">"c2780"</definedName>
    <definedName name="IQ_GAAP_IS" hidden="1">"c6194"</definedName>
    <definedName name="IQ_GAAP_LOSS" hidden="1">"c2779"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CREDIT_DERIVATIVES_FFIEC" hidden="1">"c13066"</definedName>
    <definedName name="IQ_GAIN_CREDIT_DERIVATIVES_NON_TRADING_FFIEC" hidden="1">"c13067"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"c1377"</definedName>
    <definedName name="IQ_GAINS_AFS_AVG_ASSETS_FFIEC" hidden="1">"c13364"</definedName>
    <definedName name="IQ_GAINS_ASSETS_TOT_FFIEC" hidden="1">"c13073"</definedName>
    <definedName name="IQ_GAINS_AVAIL_SALE_EQUITY_SEC_T2_FFIEC" hidden="1">"c13147"</definedName>
    <definedName name="IQ_GAINS_AVAIL_SALE_SEC_T1_FFIEC" hidden="1">"c13131"</definedName>
    <definedName name="IQ_GAINS_CASH_FLOW_HEDGES_T1_FFIEC" hidden="1">"c13133"</definedName>
    <definedName name="IQ_GAINS_HTM_AVG_ASSETS_FFIEC" hidden="1">"c13363"</definedName>
    <definedName name="IQ_GAINS_INSTRUMENT_SPECIFIC_CREDIT_RISK_LIAB_FFIEC" hidden="1">"c13076"</definedName>
    <definedName name="IQ_GAINS_INSTRUMENT_SPECIFIC_RISK_FFIEC" hidden="1">"c13074"</definedName>
    <definedName name="IQ_GAINS_INSURANCE_ACTIVITIES_FFIEC" hidden="1">"c13072"</definedName>
    <definedName name="IQ_GAINS_LIABILITIES_FFIEC" hidden="1">"c13075"</definedName>
    <definedName name="IQ_GAINS_SALE_LOANS_LEASES_FFIEC" hidden="1">"c13013"</definedName>
    <definedName name="IQ_GAINS_SALE_OTHER_ASSETS_FFIEC" hidden="1">"c13015"</definedName>
    <definedName name="IQ_GAINS_SALE_OTHER_RE_OWNED_FFIEC" hidden="1">"c13014"</definedName>
    <definedName name="IQ_GAINS_SECURITIZATION_OPERATING_INC_FFIEC" hidden="1">"c13391"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NERAL_ALLOWANCE" hidden="1">"c15248"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OODWILL_FFIEC" hidden="1">"c12836"</definedName>
    <definedName name="IQ_GOODWILL_IMPAIRMENT_FFIEC" hidden="1">"c13025"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LOSSES_AVG_LOANS_FFIEC" hidden="1">"c13475"</definedName>
    <definedName name="IQ_GROSS_MARGIN" hidden="1">"c529"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DGEFUND_OVER_TOTAL" hidden="1">"c13771"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CONFERENCE_SPACE" hidden="1">"c15971"</definedName>
    <definedName name="IQ_HG_EXP_CASINO" hidden="1">"c8733"</definedName>
    <definedName name="IQ_HG_EXP_DEVELOPMENT" hidden="1">"c8738"</definedName>
    <definedName name="IQ_HG_EXP_DIRECT_CASINO_GAMING" hidden="1">"c15994"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DIRECT_HOTEL_MOTEL" hidden="1">"c15995"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BEV_EXP_DIRECT_OPERATING_EXP" hidden="1">"c15980"</definedName>
    <definedName name="IQ_HG_FOOD_BEV_REV_TOTAL_REV" hidden="1">"c15983"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NUMBER_SUITES" hidden="1">"c15970"</definedName>
    <definedName name="IQ_HG_NUMBER_TABLES_AVG" hidden="1">"c15973"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PROMO_ALLOW_GROSS_OPERATING_REV" hidden="1">"c15979"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GROSS_OPERATING" hidden="1">"c15993"</definedName>
    <definedName name="IQ_HG_REV_INCENTIVE_MANAGEMENT_FEES" hidden="1">"c8727"</definedName>
    <definedName name="IQ_HG_REV_MANAGEMENT_FEES" hidden="1">"c8718"</definedName>
    <definedName name="IQ_HG_REV_OTHER_CASINO" hidden="1">"c15992"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SLOT_MACHINE" hidden="1">"c15990"</definedName>
    <definedName name="IQ_HG_REV_TABLE" hidden="1">"c15991"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PROM_COSTS" hidden="1">"c8745"</definedName>
    <definedName name="IQ_HG_ROOM_REV_TOTAL_REV" hidden="1">"c15984"</definedName>
    <definedName name="IQ_HG_ROOMS_BEG" hidden="1">"c8600"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"c16124"</definedName>
    <definedName name="IQ_HG_TABLE_GAMES_MANAGED" hidden="1">"c16125"</definedName>
    <definedName name="IQ_HG_TABLE_GAMES_OWNED" hidden="1">"c16123"</definedName>
    <definedName name="IQ_HG_TABLE_GAMES_TOTAL" hidden="1">"c16126"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LOW_CLOSEPRICE_DATE" hidden="1">"c1204"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REUT" hidden="1">"c5317"</definedName>
    <definedName name="IQ_HIGHPRICE" hidden="1">"c545"</definedName>
    <definedName name="IQ_HOLDER_CIQID" hidden="1">"c13787"</definedName>
    <definedName name="IQ_HOLDER_CIQID_SECURITY" hidden="1">"c13794"</definedName>
    <definedName name="IQ_HOLDER_DERIVATIVES" hidden="1">"c13789"</definedName>
    <definedName name="IQ_HOLDER_DERIVATIVES_SECURITY" hidden="1">"c13796"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LDER_NAME" hidden="1">"c13786"</definedName>
    <definedName name="IQ_HOLDER_NAME_SECURITY" hidden="1">"c13793"</definedName>
    <definedName name="IQ_HOLDER_PERCENT" hidden="1">"c13790"</definedName>
    <definedName name="IQ_HOLDER_PERCENT_SECURITY" hidden="1">"c13831"</definedName>
    <definedName name="IQ_HOLDER_POSITION_DATE" hidden="1">"c13792"</definedName>
    <definedName name="IQ_HOLDER_POSITION_DATE_SECURITY" hidden="1">"c13798"</definedName>
    <definedName name="IQ_HOLDER_SHARES" hidden="1">"c13788"</definedName>
    <definedName name="IQ_HOLDER_SHARES_SECURITY" hidden="1">"c13795"</definedName>
    <definedName name="IQ_HOLDER_VALUE" hidden="1">"c13791"</definedName>
    <definedName name="IQ_HOLDER_VALUE_SECURITY" hidden="1">"c13797"</definedName>
    <definedName name="IQ_HOLDING_CIQID" hidden="1">"c13802"</definedName>
    <definedName name="IQ_HOLDING_NAME" hidden="1">"c13799"</definedName>
    <definedName name="IQ_HOLDING_PERCENT" hidden="1">"c13805"</definedName>
    <definedName name="IQ_HOLDING_PERCENT_PORTFOLIO" hidden="1">"c13806"</definedName>
    <definedName name="IQ_HOLDING_POSITION_DATE" hidden="1">"c13808"</definedName>
    <definedName name="IQ_HOLDING_SECURITY_TYPE" hidden="1">"c13803"</definedName>
    <definedName name="IQ_HOLDING_SHARES" hidden="1">"c13804"</definedName>
    <definedName name="IQ_HOLDING_TICKER" hidden="1">"c13800"</definedName>
    <definedName name="IQ_HOLDING_TRADING_ITEM_CIQID" hidden="1">"c13801"</definedName>
    <definedName name="IQ_HOLDING_VALUE" hidden="1">"c13807"</definedName>
    <definedName name="IQ_HOLDINGS_AFRICA_MIDEAST_PERCENT" hidden="1">"c19235"</definedName>
    <definedName name="IQ_HOLDINGS_AFRICA_MIDEAST_VALUE" hidden="1">"c19234"</definedName>
    <definedName name="IQ_HOLDINGS_ASIA_PERCENT" hidden="1">"c19233"</definedName>
    <definedName name="IQ_HOLDINGS_ASIA_VALUE" hidden="1">"c19232"</definedName>
    <definedName name="IQ_HOLDINGS_CONSUMER_DISCRETIONARY_PERCENT" hidden="1">"c19213"</definedName>
    <definedName name="IQ_HOLDINGS_CONSUMER_DISCRETIONARY_VALUE" hidden="1">"c19212"</definedName>
    <definedName name="IQ_HOLDINGS_CONSUMER_STAPLES_PERCENT" hidden="1">"c19219"</definedName>
    <definedName name="IQ_HOLDINGS_CONSUMER_STAPLES_VALUE" hidden="1">"c19218"</definedName>
    <definedName name="IQ_HOLDINGS_ENERGY_PERCENT" hidden="1">"c19215"</definedName>
    <definedName name="IQ_HOLDINGS_ENERGY_VALUE" hidden="1">"c19214"</definedName>
    <definedName name="IQ_HOLDINGS_EUROPE_PERCENT" hidden="1">"c19229"</definedName>
    <definedName name="IQ_HOLDINGS_EUROPE_VALUE" hidden="1">"c19228"</definedName>
    <definedName name="IQ_HOLDINGS_FINANCIALS_PERCENT" hidden="1">"c19209"</definedName>
    <definedName name="IQ_HOLDINGS_FINANCIALS_VALUE" hidden="1">"c19208"</definedName>
    <definedName name="IQ_HOLDINGS_HEALTHCARE_PERCENT" hidden="1">"c19211"</definedName>
    <definedName name="IQ_HOLDINGS_HEALTHCARE_VALUE" hidden="1">"c19210"</definedName>
    <definedName name="IQ_HOLDINGS_INDUSTRIALS_PERCENT" hidden="1">"c19217"</definedName>
    <definedName name="IQ_HOLDINGS_INDUSTRIALS_VALUE" hidden="1">"c19216"</definedName>
    <definedName name="IQ_HOLDINGS_IT_PERCENT" hidden="1">"c19207"</definedName>
    <definedName name="IQ_HOLDINGS_IT_VALUE" hidden="1">"c19206"</definedName>
    <definedName name="IQ_HOLDINGS_LATIN_CARIBBEAN_PERCENT" hidden="1">"c19231"</definedName>
    <definedName name="IQ_HOLDINGS_LATIN_CARIBBEAN_VALUE" hidden="1">"c19230"</definedName>
    <definedName name="IQ_HOLDINGS_MATERIALS_PERCENT" hidden="1">"c19223"</definedName>
    <definedName name="IQ_HOLDINGS_MATERIALS_VALUE" hidden="1">"c19222"</definedName>
    <definedName name="IQ_HOLDINGS_TELECOMM_PERCENT" hidden="1">"c19221"</definedName>
    <definedName name="IQ_HOLDINGS_TELECOMM_VALUE" hidden="1">"c19220"</definedName>
    <definedName name="IQ_HOLDINGS_US_CANADA_PERCENT" hidden="1">"c19227"</definedName>
    <definedName name="IQ_HOLDINGS_US_CANADA_VALUE" hidden="1">"c19226"</definedName>
    <definedName name="IQ_HOLDINGS_UTILITIES_PERCENT" hidden="1">"c19225"</definedName>
    <definedName name="IQ_HOLDINGS_UTILITIES_VALUE" hidden="1">"c19224"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ANS_TOT_LOANS_FFIEC" hidden="1">"c13867"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" hidden="1">"c8422"</definedName>
    <definedName name="IQ_HOUSING_COMPLETIONS_SINGLE_FAM_APR_UNUSED" hidden="1">"c7542"</definedName>
    <definedName name="IQ_HOUSING_COMPLETIONS_SINGLE_FAM_FC_UNUSED" hidden="1">"c7762"</definedName>
    <definedName name="IQ_HOUSING_COMPLETIONS_SINGLE_FAM_POP_FC_UNUSED" hidden="1">"c7982"</definedName>
    <definedName name="IQ_HOUSING_COMPLETIONS_SINGLE_FAM_POP_UNUSED" hidden="1">"c7102"</definedName>
    <definedName name="IQ_HOUSING_COMPLETIONS_SINGLE_FAM_UNUSED" hidden="1">"c6882"</definedName>
    <definedName name="IQ_HOUSING_COMPLETIONS_SINGLE_FAM_YOY_FC_UNUSED" hidden="1">"c8202"</definedName>
    <definedName name="IQ_HOUSING_COMPLETIONS_SINGLE_FAM_YOY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HTM_INVEST_SECURITIES_FFIEC" hidden="1">"c13455"</definedName>
    <definedName name="IQ_HTM_SECURITIES_TIER_1_FFIEC" hidden="1">"c13342"</definedName>
    <definedName name="IQ_HYBRID_CAPITAL" hidden="1">"c15245"</definedName>
    <definedName name="IQ_HYBRID_STRUCTURED_PRODUCTS_AFS_AMORT_COST_FFIEC" hidden="1">"c20502"</definedName>
    <definedName name="IQ_HYBRID_STRUCTURED_PRODUCTS_AFS_FAIR_VAL_FFIEC" hidden="1">"c20467"</definedName>
    <definedName name="IQ_HYBRID_STRUCTURED_PRODUCTS_AVAIL_SALE_FFIEC" hidden="1">"c15265"</definedName>
    <definedName name="IQ_HYBRID_STRUCTURED_PRODUCTS_FFIEC" hidden="1">"c15262"</definedName>
    <definedName name="IQ_HYBRID_STRUCTURED_PRODUCTS_HTM_AMORT_COST_FFIEC" hidden="1">"c20450"</definedName>
    <definedName name="IQ_HYBRID_STRUCTURED_PRODUCTS_HTM_FAIR_VAL_FFIEC" hidden="1">"c20485"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CT_UNRECOG_TAX_BENEFIT_EFFECTIVE_TAX" hidden="1">"c15748"</definedName>
    <definedName name="IQ_IMPAIR_OIL" hidden="1">"c547"</definedName>
    <definedName name="IQ_IMPAIRED_LOANS" hidden="1">"c15250"</definedName>
    <definedName name="IQ_IMPAIRMENT_GW" hidden="1">"c548"</definedName>
    <definedName name="IQ_IMPAIRMENT_GW_SUPPLE" hidden="1">"c13811"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" hidden="1">"c8523"</definedName>
    <definedName name="IQ_IMPORTS_GOODS_REAL_SAAR_APR_UNUSED" hidden="1">"c7643"</definedName>
    <definedName name="IQ_IMPORTS_GOODS_REAL_SAAR_FC_UNUSED" hidden="1">"c7863"</definedName>
    <definedName name="IQ_IMPORTS_GOODS_REAL_SAAR_POP_FC_UNUSED" hidden="1">"c8083"</definedName>
    <definedName name="IQ_IMPORTS_GOODS_REAL_SAAR_POP_UNUSED" hidden="1">"c7203"</definedName>
    <definedName name="IQ_IMPORTS_GOODS_REAL_SAAR_UNUSED" hidden="1">"c6983"</definedName>
    <definedName name="IQ_IMPORTS_GOODS_REAL_SAAR_YOY_FC_UNUSED" hidden="1">"c8303"</definedName>
    <definedName name="IQ_IMPORTS_GOODS_REAL_SAAR_YOY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" hidden="1">"c8429"</definedName>
    <definedName name="IQ_IMPORTS_GOODS_SERVICES_APR_UNUSED" hidden="1">"c7549"</definedName>
    <definedName name="IQ_IMPORTS_GOODS_SERVICES_FC_UNUSED" hidden="1">"c7769"</definedName>
    <definedName name="IQ_IMPORTS_GOODS_SERVICES_POP_FC_UNUSED" hidden="1">"c7989"</definedName>
    <definedName name="IQ_IMPORTS_GOODS_SERVICES_POP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" hidden="1">"c8524"</definedName>
    <definedName name="IQ_IMPORTS_GOODS_SERVICES_REAL_SAAR_APR_UNUSED" hidden="1">"c7644"</definedName>
    <definedName name="IQ_IMPORTS_GOODS_SERVICES_REAL_SAAR_FC_UNUSED" hidden="1">"c7864"</definedName>
    <definedName name="IQ_IMPORTS_GOODS_SERVICES_REAL_SAAR_POP" hidden="1">"c11959"</definedName>
    <definedName name="IQ_IMPORTS_GOODS_SERVICES_REAL_SAAR_POP_FC_UNUSED" hidden="1">"c8084"</definedName>
    <definedName name="IQ_IMPORTS_GOODS_SERVICES_REAL_SAAR_POP_UNUSED" hidden="1">"c7204"</definedName>
    <definedName name="IQ_IMPORTS_GOODS_SERVICES_REAL_SAAR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" hidden="1">"c8304"</definedName>
    <definedName name="IQ_IMPORTS_GOODS_SERVICES_REAL_SAAR_YOY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" hidden="1">"c8209"</definedName>
    <definedName name="IQ_IMPORTS_GOODS_SERVICES_YOY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DOM_LOANS_FFIEC" hidden="1">"c12975"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OME_CHECKS_FFIEC" hidden="1">"c13040"</definedName>
    <definedName name="IQ_INCOME_FIDUCIARY_ACTIVITIES_FFIEC" hidden="1">"c13002"</definedName>
    <definedName name="IQ_INCOME_LEASE_FINANCING_REC_FFIEC" hidden="1">"c12980"</definedName>
    <definedName name="IQ_INCOME_LOANS_LEASES_TAX_EXEMPT_FFIEC" hidden="1">"c13038"</definedName>
    <definedName name="IQ_INCOME_OTHER_INSURANCE_ACTIVITIES_FFIEC" hidden="1">"c13009"</definedName>
    <definedName name="IQ_INCOME_SALE_MUTUAL_FUNDS_DOM_FFIEC" hidden="1">"c13069"</definedName>
    <definedName name="IQ_INCOME_SECURITIES_TAX_EXEMPT_FFIEC" hidden="1">"c13039"</definedName>
    <definedName name="IQ_INCOME_TAX_FOREIGN_FFIEC" hidden="1">"c15391"</definedName>
    <definedName name="IQ_INCOME_TAXES_FFIEC" hidden="1">"c13030"</definedName>
    <definedName name="IQ_INCREASE_INT_INCOME_FFIEC" hidden="1">"c13063"</definedName>
    <definedName name="IQ_INDEX_CURRENCY" hidden="1">"c15224"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EX_PROVIDED_DIVIDEND" hidden="1">"c19252"</definedName>
    <definedName name="IQ_INDEX_SHARES" hidden="1">"c19193"</definedName>
    <definedName name="IQ_INDEX_TYPE" hidden="1">"c15223"</definedName>
    <definedName name="IQ_INDEXCONSTITUENT_CLOSEPRICE" hidden="1">"c19241"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GROSS_LOANS_FFIEC" hidden="1">"c13411"</definedName>
    <definedName name="IQ_INDIVIDUALS_RISK_BASED_FFIEC" hidden="1">"c13432"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SUPPLE" hidden="1">"c13814"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_DEPOSITS" hidden="1">"c89"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UR_RECEIV" hidden="1">"c1600"</definedName>
    <definedName name="IQ_INSURANCE_REINSURANCE_UNDERWRITING_INCOME_FFIEC" hidden="1">"c13008"</definedName>
    <definedName name="IQ_INSURANCE_REV_OPERATING_INC_FFIEC" hidden="1">"c13387"</definedName>
    <definedName name="IQ_INT_BEARING_DEPOSITS" hidden="1">"c1166"</definedName>
    <definedName name="IQ_INT_BEARING_FUNDS_AVG_ASSETS_FFIEC" hidden="1">"c13355"</definedName>
    <definedName name="IQ_INT_BEARING_LIABILITIES_REPRICE_ASSETS_TOT_FFIEC" hidden="1">"c13452"</definedName>
    <definedName name="IQ_INT_BORROW" hidden="1">"c583"</definedName>
    <definedName name="IQ_INT_DEPOSITS" hidden="1">"c584"</definedName>
    <definedName name="IQ_INT_DEPOSITS_DOM_FFIEC" hidden="1">"c12852"</definedName>
    <definedName name="IQ_INT_DEPOSITS_DOM_QUARTERLY_AVG_FFIEC" hidden="1">"c13088"</definedName>
    <definedName name="IQ_INT_DEPOSITS_FOREIGN_FFIEC" hidden="1">"c12855"</definedName>
    <definedName name="IQ_INT_DEPOSITS_FOREIGN_QUARTERLY_AVG_FFIEC" hidden="1">"c13089"</definedName>
    <definedName name="IQ_INT_DIV_INC" hidden="1">"c585"</definedName>
    <definedName name="IQ_INT_DIV_INC_MBS_FFIEC" hidden="1">"c12984"</definedName>
    <definedName name="IQ_INT_DIV_INC_SECURITIES_FFIEC" hidden="1">"c12982"</definedName>
    <definedName name="IQ_INT_DIV_INC_SECURITIES_OTHER_FFIEC" hidden="1">"c12985"</definedName>
    <definedName name="IQ_INT_DIV_INC_TREASURY_SECURITIES_FFIEC" hidden="1">"c12983"</definedName>
    <definedName name="IQ_INT_EXP_AVG_ASSETS_FFIEC" hidden="1">"c13357"</definedName>
    <definedName name="IQ_INT_EXP_BR" hidden="1">"c586"</definedName>
    <definedName name="IQ_INT_EXP_COVERAGE" hidden="1">"c587"</definedName>
    <definedName name="IQ_INT_EXP_EARNING_ASSETS_FFIEC" hidden="1">"c13376"</definedName>
    <definedName name="IQ_INT_EXP_FED_FUNDS_PURCHASED_FFIEC" hidden="1">"c12996"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UTI" hidden="1">"c592"</definedName>
    <definedName name="IQ_INT_EXPENSE_AVG_ASSET" hidden="1">"c15705"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LOANS_1_4_DOM_FFIEC" hidden="1">"c12976"</definedName>
    <definedName name="IQ_INT_FEE_INC_LOANS_DOM_FFIEC" hidden="1">"c13335"</definedName>
    <definedName name="IQ_INT_FEE_INC_LOANS_FOREIGN_FFIEC" hidden="1">"c12979"</definedName>
    <definedName name="IQ_INT_FEE_INC_LOANS_OTHER_DOM_FFIEC" hidden="1">"c12978"</definedName>
    <definedName name="IQ_INT_FEE_INC_RE_LOANS_DOM_FFIEC" hidden="1">"c15353"</definedName>
    <definedName name="IQ_INT_FEE_INC_SECURED_RE_DOM_FFIEC" hidden="1">"c12977"</definedName>
    <definedName name="IQ_INT_FEE_INC_TAX_EXEMPT_OBLIGATIONS_DOM_FFIEC" hidden="1">"c15362"</definedName>
    <definedName name="IQ_INT_FEE_INC_TAXABLE_OBLIGATIONS_DOM_FFIEC" hidden="1">"c15361"</definedName>
    <definedName name="IQ_INT_FEE_INCOME_FFIEC" hidden="1">"c12974"</definedName>
    <definedName name="IQ_INT_INC_AVG_ASSETS_FFIEC" hidden="1">"c13356"</definedName>
    <definedName name="IQ_INT_INC_BR" hidden="1">"c593"</definedName>
    <definedName name="IQ_INT_INC_DUE_DEPOSITORY_INSTITUTIONS_FFIEC" hidden="1">"c12981"</definedName>
    <definedName name="IQ_INT_INC_EARNING_ASSETS_FFIEC" hidden="1">"c13375"</definedName>
    <definedName name="IQ_INT_INC_FED_FUNDS_SOLD_FFIEC" hidden="1">"c12987"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E_AVG_ASSETS_FFIEC" hidden="1">"c13358"</definedName>
    <definedName name="IQ_INT_INC_TE_EARNING_ASSETS_FFIEC" hidden="1">"c13377"</definedName>
    <definedName name="IQ_INT_INC_TOTAL" hidden="1">"c598"</definedName>
    <definedName name="IQ_INT_INC_TOTAL_BNK_SUBTOTAL_AP" hidden="1">"c8976"</definedName>
    <definedName name="IQ_INT_INC_TRADING_ASSETS_FFIEC" hidden="1">"c12986"</definedName>
    <definedName name="IQ_INT_INC_UTI" hidden="1">"c599"</definedName>
    <definedName name="IQ_INT_INCOME_AVG_ASSET" hidden="1">"c15704"</definedName>
    <definedName name="IQ_INT_INCOME_FTE_AVG_ASSETS_FFIEC" hidden="1">"c13856"</definedName>
    <definedName name="IQ_INT_INCOME_FTE_AVG_EARNING_ASSETS_FFIEC" hidden="1">"c13857"</definedName>
    <definedName name="IQ_INT_INCOME_FTE_FFIEC" hidden="1">"c13852"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ON_DEPOSITS_DOM_FFIEC" hidden="1">"c12991"</definedName>
    <definedName name="IQ_INT_ON_DEPOSITS_FFIEC" hidden="1">"c12990"</definedName>
    <definedName name="IQ_INT_ON_DEPOSITS_FOREIGN_FFIEC" hidden="1">"c12995"</definedName>
    <definedName name="IQ_INT_RATE_EXPOSURE_FFIEC" hidden="1">"c13058"</definedName>
    <definedName name="IQ_INT_RATE_SPREAD" hidden="1">"c604"</definedName>
    <definedName name="IQ_INT_SAVINGS_DEPOSITS_MMDA_DOM_FFIEC" hidden="1">"c15364"</definedName>
    <definedName name="IQ_INT_SUB_NOTES_FFIEC" hidden="1">"c12998"</definedName>
    <definedName name="IQ_INT_TIME_DEPOSITS_LESS_THAN_100K_DOM_FFIEC" hidden="1">"c12993"</definedName>
    <definedName name="IQ_INT_TIME_DEPOSITS_MORE_THAN_100K_DOM_FFIEC" hidden="1">"c12992"</definedName>
    <definedName name="IQ_INT_TRADING_LIABILITIES_FFIEC" hidden="1">"c12997"</definedName>
    <definedName name="IQ_INT_TRANSACTION_ACCOUNTS_DOM_FFIEC" hidden="1">"c15363"</definedName>
    <definedName name="IQ_INTANGIBLES_NET" hidden="1">"c1407"</definedName>
    <definedName name="IQ_INTERBANK_RATIO" hidden="1">"c19134"</definedName>
    <definedName name="IQ_INTEREST_ACCRUED_ON_DEPOSITS_DOM_FFIEC" hidden="1">"c15277"</definedName>
    <definedName name="IQ_INTEREST_BEARING_BALANCES_QUARTERLY_AVG_FFIEC" hidden="1">"c15467"</definedName>
    <definedName name="IQ_INTEREST_BEARING_CASH_FFIEC" hidden="1">"c15259"</definedName>
    <definedName name="IQ_INTEREST_BEARING_CASH_FOREIGN_FFIEC" hidden="1">"c12776"</definedName>
    <definedName name="IQ_INTEREST_BEARING_CASH_US_FFIEC" hidden="1">"c12775"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NAL_ALLOCATIONS_INC_EXP_FOREIGN_FFIEC" hidden="1">"c15394"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IES_ASSETS_TOT_FFIEC" hidden="1">"c13440"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_UNCONSOLIDATED_SUBS_FFIEC" hidden="1">"c12834"</definedName>
    <definedName name="IQ_INVESTMENT_ADVISOR" hidden="1">"c19236"</definedName>
    <definedName name="IQ_INVESTMENT_ADVISOR_ID" hidden="1">"c19237"</definedName>
    <definedName name="IQ_INVESTMENT_ADVISOR_PRIMARY" hidden="1">"c19239"</definedName>
    <definedName name="IQ_INVESTMENT_ADVISOR_PRIMARY_ID" hidden="1">"c19240"</definedName>
    <definedName name="IQ_INVESTMENT_ADVISOR_REL" hidden="1">"c19238"</definedName>
    <definedName name="IQ_INVESTMENT_BANKING_BROKERAGE_FEES_FFIEC" hidden="1">"c13627"</definedName>
    <definedName name="IQ_INVESTMENT_BANKING_FEES_COMMISSIONS_FFIEC" hidden="1">"c13006"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PRD_SUPPLE" hidden="1">"c13813"</definedName>
    <definedName name="IQ_ISIN" hidden="1">"c12041"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" hidden="1">"c8443"</definedName>
    <definedName name="IQ_ISM_SERVICES_APR_UNUSED" hidden="1">"c7563"</definedName>
    <definedName name="IQ_ISM_SERVICES_FC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" hidden="1">"c8003"</definedName>
    <definedName name="IQ_ISM_SERVICES_POP_UNUSED" hidden="1">"c7123"</definedName>
    <definedName name="IQ_ISM_SERVICES_UNUSED" hidden="1">"c6903"</definedName>
    <definedName name="IQ_ISM_SERVICES_YOY_FC_UNUSED" hidden="1">"c8223"</definedName>
    <definedName name="IQ_ISM_SERVICES_YOY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KEY_DEV_COMPANY_ID" hidden="1">"c13830"</definedName>
    <definedName name="IQ_KEY_DEV_COMPANY_NAME" hidden="1">"c13829"</definedName>
    <definedName name="IQ_KEY_DEV_DATE" hidden="1">"c13763"</definedName>
    <definedName name="IQ_KEY_DEV_HEADLINE" hidden="1">"c13761"</definedName>
    <definedName name="IQ_KEY_DEV_ID" hidden="1">"c13760"</definedName>
    <definedName name="IQ_KEY_DEV_ID_INCL_SUBS" hidden="1">"c13832"</definedName>
    <definedName name="IQ_KEY_DEV_SITUATION" hidden="1">"c13762"</definedName>
    <definedName name="IQ_KEY_DEV_SOURCE" hidden="1">"c13765"</definedName>
    <definedName name="IQ_KEY_DEV_TIME" hidden="1">"c13833"</definedName>
    <definedName name="IQ_KEY_DEV_TRANSACTION_ID" hidden="1">"c13766"</definedName>
    <definedName name="IQ_KEY_DEV_TYPE" hidden="1">"c13764"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_MONTHLY_FACTOR" hidden="1">"c8971"</definedName>
    <definedName name="IQ_LATEST_MONTHLY_FACTOR_DATE" hidden="1">"c8972"</definedName>
    <definedName name="IQ_LATEST_TRANSACTION" hidden="1">"c18886"</definedName>
    <definedName name="IQ_LATESTK" hidden="1">1000</definedName>
    <definedName name="IQ_LATESTQ" hidden="1">500</definedName>
    <definedName name="IQ_LEAD_UNDERWRITER" hidden="1">"c8957"</definedName>
    <definedName name="IQ_LEASE_EXPENSE" hidden="1">"c16039"</definedName>
    <definedName name="IQ_LEASE_FIN_RECEIVABLES_NON_US_CHARGE_OFFS_FFIEC" hidden="1">"c13631"</definedName>
    <definedName name="IQ_LEASE_FIN_RECEIVABLES_NON_US_RECOV_FFIEC" hidden="1">"c13635"</definedName>
    <definedName name="IQ_LEASE_FIN_RECEIVABLES_US_CHARGE_OFFS_FFIEC" hidden="1">"c13630"</definedName>
    <definedName name="IQ_LEASE_FIN_RECEIVABLES_US_RECOV_FFIEC" hidden="1">"c13634"</definedName>
    <definedName name="IQ_LEASE_FINANCE" hidden="1">"c5654"</definedName>
    <definedName name="IQ_LEASE_FINANCING_REC_DUE_30_89_FFIEC" hidden="1">"c13276"</definedName>
    <definedName name="IQ_LEASE_FINANCING_REC_DUE_90_FFIEC" hidden="1">"c13302"</definedName>
    <definedName name="IQ_LEASE_FINANCING_REC_NON_ACCRUAL_FFIEC" hidden="1">"c13328"</definedName>
    <definedName name="IQ_LEASE_FINANCING_RECEIVABLES_DOM_FFIEC" hidden="1">"c12915"</definedName>
    <definedName name="IQ_LEASE_FINANCING_RECEIVABLES_QUARTERLY_AVG_FFIEC" hidden="1">"c15483"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CEIVABLES_FOREIGN_FFIEC" hidden="1">"c13483"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ASEHOLD_IMPROVEMENT" hidden="1">"c17549"</definedName>
    <definedName name="IQ_LEASES_INDIVIDUALS_CHARGE_OFFS_FFIEC" hidden="1">"c13184"</definedName>
    <definedName name="IQ_LEASES_INDIVIDUALS_RECOV_FFIEC" hidden="1">"c13206"</definedName>
    <definedName name="IQ_LEASES_PERSONAL_EXP_DUE_30_89_FFIEC" hidden="1">"c13277"</definedName>
    <definedName name="IQ_LEASES_PERSONAL_EXP_DUE_90_FFIEC" hidden="1">"c13303"</definedName>
    <definedName name="IQ_LEASES_PERSONAL_EXP_NON_ACCRUAL_FFIEC" hidden="1">"c13329"</definedName>
    <definedName name="IQ_LEGAL_FEES_FFIEC" hidden="1">"c13052"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SUPPLE" hidden="1">"c13815"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ABILITIES_FAIR_VALUE" hidden="1">"c13848"</definedName>
    <definedName name="IQ_LIABILITIES_LEVEL_1" hidden="1">"c13844"</definedName>
    <definedName name="IQ_LIABILITIES_LEVEL_2" hidden="1">"c13845"</definedName>
    <definedName name="IQ_LIABILITIES_LEVEL_3" hidden="1">"c13846"</definedName>
    <definedName name="IQ_LIABILITIES_NETTING_OTHER_ADJUSTMENTS" hidden="1">"c13847"</definedName>
    <definedName name="IQ_LIABILITY_ACCEPTANCES_OUT_FFIEC" hidden="1">"c12866"</definedName>
    <definedName name="IQ_LIABILITY_SHORT_POSITIONS_DOM_FFIEC" hidden="1">"c12941"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FIEC" hidden="1">"c12847"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IQUID_ASSETS_ASSETS_TOT_FFIEC" hidden="1">"c13439"</definedName>
    <definedName name="IQ_LIQUID_ASSETS_NONCORE_FUNDING_FFIEC" hidden="1">"c13339"</definedName>
    <definedName name="IQ_LIQUIDATION_VALUE_PREFERRED_CONVERT" hidden="1">"c13835"</definedName>
    <definedName name="IQ_LIQUIDATION_VALUE_PREFERRED_NON_REDEEM" hidden="1">"c13836"</definedName>
    <definedName name="IQ_LIQUIDATION_VALUE_PREFERRED_REDEEM" hidden="1">"c13837"</definedName>
    <definedName name="IQ_LL" hidden="1">"c656"</definedName>
    <definedName name="IQ_LOAN_ALLOW_GROSS_LOANS_FFIEC" hidden="1">"c13415"</definedName>
    <definedName name="IQ_LOAN_ALLOWANCE_GROSS_LOSSES_FFIEC" hidden="1">"c13352"</definedName>
    <definedName name="IQ_LOAN_ALLOWANCE_NET_LOANS_FFIEC" hidden="1">"c13472"</definedName>
    <definedName name="IQ_LOAN_ALLOWANCE_NONACCRUAL_ASSETS_FFIEC" hidden="1">"c13473"</definedName>
    <definedName name="IQ_LOAN_ALLOWANCE_PAST_DUE_NONACCRUAL_FFIEC" hidden="1">"c13474"</definedName>
    <definedName name="IQ_LOAN_COMMITMENTS_FAIR_VALUE_TOT_FFIEC" hidden="1">"c13216"</definedName>
    <definedName name="IQ_LOAN_COMMITMENTS_LEVEL_1_FFIEC" hidden="1">"c13224"</definedName>
    <definedName name="IQ_LOAN_COMMITMENTS_LEVEL_2_FFIEC" hidden="1">"c13232"</definedName>
    <definedName name="IQ_LOAN_COMMITMENTS_LEVEL_3_FFIEC" hidden="1">"c13240"</definedName>
    <definedName name="IQ_LOAN_LEASE_RECEIV" hidden="1">"c657"</definedName>
    <definedName name="IQ_LOAN_LOSS" hidden="1">"c1386"</definedName>
    <definedName name="IQ_LOAN_LOSS_ALLOWANCE_NON_PERF_ASSETS_FFIEC" hidden="1">"c13912"</definedName>
    <definedName name="IQ_LOAN_LOSS_PROVISION_FOREIGN_FFIEC" hidden="1">"c15382"</definedName>
    <definedName name="IQ_LOAN_LOSSES_AVERAGE_LOANS_FFIEC" hidden="1">"c13350"</definedName>
    <definedName name="IQ_LOAN_SERVICE_REV" hidden="1">"c658"</definedName>
    <definedName name="IQ_LOANS_AGRICULTURAL_PROD_LL_REC_FFIEC" hidden="1">"c12886"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_US_LL_REC_FFIEC" hidden="1">"c12884"</definedName>
    <definedName name="IQ_LOANS_DOM_QUARTERLY_AVG_FFIEC" hidden="1">"c13084"</definedName>
    <definedName name="IQ_LOANS_FARMERS_CHARGE_OFFS_FFIEC" hidden="1">"c13177"</definedName>
    <definedName name="IQ_LOANS_FARMERS_RECOV_FFIEC" hidden="1">"c13199"</definedName>
    <definedName name="IQ_LOANS_FINANCE_AGRICULTURAL_DUE_30_89_FFIEC" hidden="1">"c13270"</definedName>
    <definedName name="IQ_LOANS_FINANCE_AGRICULTURAL_DUE_90_FFIEC" hidden="1">"c13296"</definedName>
    <definedName name="IQ_LOANS_FINANCE_AGRICULTURAL_NON_ACCRUAL_FFIEC" hidden="1">"c13322"</definedName>
    <definedName name="IQ_LOANS_FINANCE_AGRICULTURAL_PROD_LL_REC_DOM_FFIEC" hidden="1">"c12909"</definedName>
    <definedName name="IQ_LOANS_FOR_SALE" hidden="1">"c666"</definedName>
    <definedName name="IQ_LOANS_FOREIGN_GOV_CHARGE_OFFS_FFIEC" hidden="1">"c13182"</definedName>
    <definedName name="IQ_LOANS_FOREIGN_GOV_DUE_30_89_FFIEC" hidden="1">"c13274"</definedName>
    <definedName name="IQ_LOANS_FOREIGN_GOV_DUE_90_FFIEC" hidden="1">"c13300"</definedName>
    <definedName name="IQ_LOANS_FOREIGN_GOV_LL_REC_DOM_FFIEC" hidden="1">"c12912"</definedName>
    <definedName name="IQ_LOANS_FOREIGN_GOV_NON_ACCRUAL_FFIEC" hidden="1">"c13326"</definedName>
    <definedName name="IQ_LOANS_FOREIGN_GOV_RECOV_FFIEC" hidden="1">"c13204"</definedName>
    <definedName name="IQ_LOANS_FOREIGN_INST_CHARGE_OFFS_FFIEC" hidden="1">"c13176"</definedName>
    <definedName name="IQ_LOANS_FOREIGN_INST_RECOV_FFIEC" hidden="1">"c13198"</definedName>
    <definedName name="IQ_LOANS_FOREIGN_LL_REC_FFIEC" hidden="1">"c12885"</definedName>
    <definedName name="IQ_LOANS_GOV_GUARANTEED_DUE_30_89_FFIEC" hidden="1">"c13281"</definedName>
    <definedName name="IQ_LOANS_GOV_GUARANTEED_DUE_90_FFIEC" hidden="1">"c13307"</definedName>
    <definedName name="IQ_LOANS_GOV_GUARANTEED_EXCL_GNMA_DUE_30_89_FFIEC" hidden="1">"c13282"</definedName>
    <definedName name="IQ_LOANS_GOV_GUARANTEED_EXCL_GNMA_DUE_90_FFIEC" hidden="1">"c13308"</definedName>
    <definedName name="IQ_LOANS_GOV_GUARANTEED_EXCL_GNMA_NON_ACCRUAL_FFIEC" hidden="1">"c13333"</definedName>
    <definedName name="IQ_LOANS_GOV_GUARANTEED_NON_ACCRUAL_FFIEC" hidden="1">"c13332"</definedName>
    <definedName name="IQ_LOANS_INDIVIDUALS_FOREIGN_FFIEC" hidden="1">"c13480"</definedName>
    <definedName name="IQ_LOANS_LEASES_ASSETS_TOT_FFIEC" hidden="1">"c13437"</definedName>
    <definedName name="IQ_LOANS_LEASES_FAIR_VALUE_TOT_FFIEC" hidden="1">"c13209"</definedName>
    <definedName name="IQ_LOANS_LEASES_HELD_SALE_FFIEC" hidden="1">"c12808"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LEVEL_1_FFIEC" hidden="1">"c13217"</definedName>
    <definedName name="IQ_LOANS_LEASES_LEVEL_2_FFIEC" hidden="1">"c13225"</definedName>
    <definedName name="IQ_LOANS_LEASES_LEVEL_3_FFIEC" hidden="1">"c13233"</definedName>
    <definedName name="IQ_LOANS_LEASES_NET_UNEARNED_INC_ALLOWANCE_FFIEC" hidden="1">"c12811"</definedName>
    <definedName name="IQ_LOANS_LEASES_NET_UNEARNED_INCOME_FFIEC" hidden="1">"c12809"</definedName>
    <definedName name="IQ_LOANS_LEASES_QUARTERLY_AVG_FFIEC" hidden="1">"c13081"</definedName>
    <definedName name="IQ_LOANS_LOC_ASSETS_TOT_FFIEC" hidden="1">"c13441"</definedName>
    <definedName name="IQ_LOANS_PAST_DUE" hidden="1">"c667"</definedName>
    <definedName name="IQ_LOANS_PURCHASING_CARRYING_SECURITIES_LL_REC_DOM_FFIEC" hidden="1">"c12913"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_RE_FOREIGN_CHARGE_OFFS_FFIEC" hidden="1">"c13174"</definedName>
    <definedName name="IQ_LOANS_SEC_RE_FOREIGN_RECOV_FFIEC" hidden="1">"c13196"</definedName>
    <definedName name="IQ_LOANS_SECURED_1_4_DOM_QUARTERLY_AVG_FFIEC" hidden="1">"c13082"</definedName>
    <definedName name="IQ_LOANS_SECURED_CONSTRUCTION_TRADING_DOM_FFIEC" hidden="1">"c12925"</definedName>
    <definedName name="IQ_LOANS_SECURED_FARMLAND_TRADING_DOM_FFIEC" hidden="1">"c12926"</definedName>
    <definedName name="IQ_LOANS_SECURED_RE_DOM_QUARTERLY_AVG_FFIEC" hidden="1">"c13083"</definedName>
    <definedName name="IQ_LOANS_SECURED_RE_FFIEC" hidden="1">"c12820"</definedName>
    <definedName name="IQ_LOANS_SECURED_RE_LL_REC_FFIEC" hidden="1">"c12883"</definedName>
    <definedName name="IQ_LOANS_US_INST_CHARGE_OFFS_FFIEC" hidden="1">"c13175"</definedName>
    <definedName name="IQ_LOANS_US_INST_RECOV_FFIEC" hidden="1">"c13197"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VAIL_SALE_EQUITY_SEC_T1_FFIEC" hidden="1">"c13132"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MATURING_1YR_INT_SENSITIVITY_FFIEC" hidden="1">"c13097"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REPRICE_ASSETS_TOT_FFIEC" hidden="1">"c13453"</definedName>
    <definedName name="IQ_LT_DEBT_REPRICING_WITHIN_1_YR_INT_SENSITIVITY_FFIEC" hidden="1">"c13095"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" hidden="1">"c4458"</definedName>
    <definedName name="IQ_MAINT_CAPEX_ACT_OR_EST_CIQ_COL" hidden="1">"c11634"</definedName>
    <definedName name="IQ_MAINT_CAPEX_GUIDANCE_CIQ" hidden="1">"c4988"</definedName>
    <definedName name="IQ_MAINT_CAPEX_GUIDANCE_CIQ_COL" hidden="1">"c11635"</definedName>
    <definedName name="IQ_MAINT_CAPEX_HIGH_GUIDANCE_CIQ" hidden="1">"c4609"</definedName>
    <definedName name="IQ_MAINT_CAPEX_HIGH_GUIDANCE_CIQ_COL" hidden="1">"c11258"</definedName>
    <definedName name="IQ_MAINT_CAPEX_LOW_GUIDANCE_CIQ" hidden="1">"c4649"</definedName>
    <definedName name="IQ_MAINT_CAPEX_LOW_GUIDANCE_CIQ_COL" hidden="1">"c11298"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BS_INVEST_SECURITIES_FFIEC" hidden="1">"c13460"</definedName>
    <definedName name="IQ_MBS_OTHER_ISSUED_FNMA_HTM_AMORT_COST_FFIEC" hidden="1">"c20444"</definedName>
    <definedName name="IQ_MBS_OTHER_ISSUED_FNMA_HTM_FAIR_VAL_FFIEC" hidden="1">"c20479"</definedName>
    <definedName name="IQ_MBS_OTHER_ISSUED_FNMA_OTHERS_AFS_AMORT_COST_FFIEC" hidden="1">"c20496"</definedName>
    <definedName name="IQ_MBS_OTHER_ISSUED_FNMA_OTHERS_AFS_FAIR_VAL_FFIEC" hidden="1">"c20461"</definedName>
    <definedName name="IQ_MBS_OTHER_ISSUED_FNMA_OTHERS_AVAIL_SALE_FFIEC" hidden="1">"c12799"</definedName>
    <definedName name="IQ_MBS_OTHER_ISSUED_FNMA_OTHERS_FFIEC" hidden="1">"c12785"</definedName>
    <definedName name="IQ_MBS_PASS_THROUGH_FNMA_AFS_AMORT_COST_FFIEC" hidden="1">"c20494"</definedName>
    <definedName name="IQ_MBS_PASS_THROUGH_FNMA_AFS_FAIR_VAL_FFIEC" hidden="1">"c20459"</definedName>
    <definedName name="IQ_MBS_PASS_THROUGH_FNMA_AVAIL_SALE_FFIEC" hidden="1">"c12797"</definedName>
    <definedName name="IQ_MBS_PASS_THROUGH_FNMA_FFIEC" hidden="1">"c12783"</definedName>
    <definedName name="IQ_MBS_PASS_THROUGH_FNMA_HTM_AMORT_COST_FFIEC" hidden="1">"c20442"</definedName>
    <definedName name="IQ_MBS_PASS_THROUGH_FNMA_HTM_FAIR_VAL_FFIEC" hidden="1">"c20477"</definedName>
    <definedName name="IQ_MBS_PASS_THROUGH_GNMA_AFS_AMORT_COST_FFIEC" hidden="1">"c20493"</definedName>
    <definedName name="IQ_MBS_PASS_THROUGH_GNMA_AFS_FAIR_VAL_FFIEC" hidden="1">"c20458"</definedName>
    <definedName name="IQ_MBS_PASS_THROUGH_GNMA_AVAIL_SALE_FFIEC" hidden="1">"c12796"</definedName>
    <definedName name="IQ_MBS_PASS_THROUGH_GNMA_FFIEC" hidden="1">"c12782"</definedName>
    <definedName name="IQ_MBS_PASS_THROUGH_GNMA_HTM_AMORT_COST_FFIEC" hidden="1">"c20441"</definedName>
    <definedName name="IQ_MBS_PASS_THROUGH_GNMA_HTM_FAIR_VAL_FFIEC" hidden="1">"c20476"</definedName>
    <definedName name="IQ_MBS_PASS_THROUGH_ISSUED_FNMA_GNMA_TRADING_DOM_FFIEC" hidden="1">"c12921"</definedName>
    <definedName name="IQ_MBS_PASS_THROUGH_OTHER_AFS_AMORT_COST_FFIEC" hidden="1">"c20495"</definedName>
    <definedName name="IQ_MBS_PASS_THROUGH_OTHER_AFS_FAIR_VAL_FFIEC" hidden="1">"c20460"</definedName>
    <definedName name="IQ_MBS_PASS_THROUGH_OTHER_AVAIL_SALE_FFIEC" hidden="1">"c12798"</definedName>
    <definedName name="IQ_MBS_PASS_THROUGH_OTHER_FFIEC" hidden="1">"c12784"</definedName>
    <definedName name="IQ_MBS_PASS_THROUGH_OTHER_HTM_AMORT_COST_FFIEC" hidden="1">"c20443"</definedName>
    <definedName name="IQ_MBS_PASS_THROUGH_OTHER_HTM_FAIR_VAL_FFIEC" hidden="1">"c20478"</definedName>
    <definedName name="IQ_MBS_QUARTERLY_AVG_FFIEC" hidden="1">"c15471"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AYS_CLAIMS_PAYABLE" hidden="1">"c9937"</definedName>
    <definedName name="IQ_MC_DAYS_CLAIMS_PAYABLE_EXCL_CAPITATION" hidden="1">"c9938"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L_COSTS_PMPM" hidden="1">"c9925"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ARENT_CASH" hidden="1">"c9942"</definedName>
    <definedName name="IQ_MC_PPO_POS_MEMBERS" hidden="1">"c15823"</definedName>
    <definedName name="IQ_MC_PPO_POS_PREMIUMS" hidden="1">"c15849"</definedName>
    <definedName name="IQ_MC_PREMIUMS" hidden="1">"c15861"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COVERED_LIVES" hidden="1">"c9919"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MEMBERSHIP" hidden="1">"c9922"</definedName>
    <definedName name="IQ_MC_TOTAL_MEMBERSHIP_CAPITATION" hidden="1">"c9923"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" hidden="1">"c8460"</definedName>
    <definedName name="IQ_MEDIAN_NEW_HOME_SALES_APR_UNUSED" hidden="1">"c7580"</definedName>
    <definedName name="IQ_MEDIAN_NEW_HOME_SALES_FC_UNUSED" hidden="1">"c7800"</definedName>
    <definedName name="IQ_MEDIAN_NEW_HOME_SALES_POP_FC_UNUSED" hidden="1">"c8020"</definedName>
    <definedName name="IQ_MEDIAN_NEW_HOME_SALES_POP_UNUSED" hidden="1">"c7140"</definedName>
    <definedName name="IQ_MEDIAN_NEW_HOME_SALES_UNUSED" hidden="1">"c6920"</definedName>
    <definedName name="IQ_MEDIAN_NEW_HOME_SALES_YOY_FC_UNUSED" hidden="1">"c8240"</definedName>
    <definedName name="IQ_MEDIAN_NEW_HOME_SALES_YOY_UNUSED" hidden="1">"c7360"</definedName>
    <definedName name="IQ_MEDIAN_TARGET_PRICE" hidden="1">"c1650"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SUPPLE" hidden="1">"c13810"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_AVG_ASSETS_FFIEC" hidden="1">"c13367"</definedName>
    <definedName name="IQ_MINORITY_INT_BS_FFIEC" hidden="1">"c12874"</definedName>
    <definedName name="IQ_MINORITY_INT_FFIEC" hidden="1">"c13031"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MDA_NON_TRANS_ACCTS_FFIEC" hidden="1">"c15330"</definedName>
    <definedName name="IQ_MMDA_SAVINGS_TOT_DEPOSITS_FFIEC" hidden="1">"c13905"</definedName>
    <definedName name="IQ_MONEY_MARKET_ACCOUNTS_COMMERCIAL_BANK_SUBS_FFIEC" hidden="1">"c12947"</definedName>
    <definedName name="IQ_MONEY_MARKET_ACCOUNTS_OTHER_INSTITUTIONS_FFIEC" hidden="1">"c12952"</definedName>
    <definedName name="IQ_MONEY_MKT_DEPOSITS_TOTAL_DEPOSITS" hidden="1">"c15720"</definedName>
    <definedName name="IQ_MONEY_MKT_SAVINGS_ACCT_DEPOSITS_TOTAL_DEPOSITS" hidden="1">"c15722"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DEBT_UNDER_CAPITAL_LEASES_FFIEC" hidden="1">"c15276"</definedName>
    <definedName name="IQ_MORTGAGE_SERV_RIGHTS" hidden="1">"c2242"</definedName>
    <definedName name="IQ_MORTGAGE_SERVICING_ASSETS_FFIEC" hidden="1">"c12838"</definedName>
    <definedName name="IQ_MTD" hidden="1">800000</definedName>
    <definedName name="IQ_MTM_ADJ" hidden="1">"c16000"</definedName>
    <definedName name="IQ_MULTI_RES_PROPERTIES_TRADING_DOM_FFIEC" hidden="1">"c12930"</definedName>
    <definedName name="IQ_MULTIFAM_5_LOANS_TOT_LOANS_FFIEC" hidden="1">"c13869"</definedName>
    <definedName name="IQ_MULTIFAMILY_LOANS_GROSS_LOANS_FFIEC" hidden="1">"c13404"</definedName>
    <definedName name="IQ_MULTIFAMILY_LOANS_RISK_BASED_FFIEC" hidden="1">"c13425"</definedName>
    <definedName name="IQ_MULTIFAMILY_RES_DOM_FFIEC" hidden="1">"c15270"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NICIPAL_INVEST_SECURITIES_FFIEC" hidden="1">"c13459"</definedName>
    <definedName name="IQ_MUTUAL_FUND_ACQUISITIONS_OTHER" hidden="1">"c20425"</definedName>
    <definedName name="IQ_MUTUAL_FUND_APPRECIATION_DEPRECIATION" hidden="1">"c20424"</definedName>
    <definedName name="IQ_MUTUAL_FUND_BOP" hidden="1">"c20420"</definedName>
    <definedName name="IQ_MUTUAL_FUND_EOP" hidden="1">"c20426"</definedName>
    <definedName name="IQ_MUTUAL_FUND_LIST" hidden="1">"c19092"</definedName>
    <definedName name="IQ_MUTUAL_FUND_NET_SALES" hidden="1">"c20423"</definedName>
    <definedName name="IQ_MUTUAL_FUND_REDEMPTIONS" hidden="1">"c20422"</definedName>
    <definedName name="IQ_MUTUAL_FUND_SALES" hidden="1">"c20421"</definedName>
    <definedName name="IQ_NAMES_REVISION_DATE_" hidden="1">"08/21/2013 05:47:02"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ATIVE_COMPANY_NAME" hidden="1">"c13822"</definedName>
    <definedName name="IQ_NATURAL_RESOURCES_COST" hidden="1">"c17550"</definedName>
    <definedName name="IQ_NAV_RE" hidden="1">"c15996"</definedName>
    <definedName name="IQ_NAV_SHARE_RE" hidden="1">"c16011"</definedName>
    <definedName name="IQ_NCLS_CLOSED_END_1_4_FAM_LOANS_TOT_LOANS_FFIEC" hidden="1">"c13891"</definedName>
    <definedName name="IQ_NCLS_COMM_IND_LOANS_TOT_LOANS_FFIEC" hidden="1">"c13898"</definedName>
    <definedName name="IQ_NCLS_COMM_RE_FARM_LOANS_TOT_LOANS_FFIEC" hidden="1">"c13897"</definedName>
    <definedName name="IQ_NCLS_COMM_RE_NONFARM_NONRES_TOT_LOANS_FFIEC" hidden="1">"c13896"</definedName>
    <definedName name="IQ_NCLS_CONST_LAND_DEV_LOANS_TOT_LOANS_FFIEC" hidden="1">"c13890"</definedName>
    <definedName name="IQ_NCLS_CONSUMER_LOANS_TOT_LOANS_FFIEC" hidden="1">"c13899"</definedName>
    <definedName name="IQ_NCLS_FARM_LOANS_TOT_LOANS_FFIEC" hidden="1">"c13895"</definedName>
    <definedName name="IQ_NCLS_HOME_EQUITY_LOANS_TOT_LOANS_FFIEC" hidden="1">"c13892"</definedName>
    <definedName name="IQ_NCLS_MULTIFAM_5_LOANS_TOT_LOANS_FFIEC" hidden="1">"c13894"</definedName>
    <definedName name="IQ_NCLS_TOT_1_4_FAM_LOANS_TOT_LOANS_FFIEC" hidden="1">"c13893"</definedName>
    <definedName name="IQ_NCLS_TOT_LEASES_TOT_LOANS_FFIEC" hidden="1">"c13900"</definedName>
    <definedName name="IQ_NCLS_TOT_LOANS_TOT_LOANS_FFIEC" hidden="1">"c13901"</definedName>
    <definedName name="IQ_NCOS_CLOSED_END_1_4_FAM_LOANS_TOT_LOANS_FFIEC" hidden="1">"c13879"</definedName>
    <definedName name="IQ_NCOS_COMM_IND_LOANS_TOT_LOANS_FFIEC" hidden="1">"c13886"</definedName>
    <definedName name="IQ_NCOS_COMM_RE_FARM_LOANS_TOT_LOANS_FFIEC" hidden="1">"c13885"</definedName>
    <definedName name="IQ_NCOS_COMM_RE_NONFARM_NONRES_TOT_LOANS_FFIEC" hidden="1">"c13884"</definedName>
    <definedName name="IQ_NCOS_CONST_LAND_DEV_LOANS_TOT_LOANS_FFIEC" hidden="1">"c13878"</definedName>
    <definedName name="IQ_NCOS_CONSUMER_LOANS_TOT_LOANS_FFIEC" hidden="1">"c13887"</definedName>
    <definedName name="IQ_NCOS_FARM_LOANS_TOT_LOANS_FFIEC" hidden="1">"c13883"</definedName>
    <definedName name="IQ_NCOS_HOME_EQUITY_LOANS_TOT_LOANS_FFIEC" hidden="1">"c13880"</definedName>
    <definedName name="IQ_NCOS_MULTIFAM_5_LOANS_TOT_LOANS_FFIEC" hidden="1">"c13882"</definedName>
    <definedName name="IQ_NCOS_TOT_1_4_FAM_LOANS_TOT_LOANS_FFIEC" hidden="1">"c13881"</definedName>
    <definedName name="IQ_NCOS_TOT_LEASES_TOT_LOANS_FFIEC" hidden="1">"c13888"</definedName>
    <definedName name="IQ_NCOS_TOT_LOANS_TOT_LOANS_FFIEC" hidden="1">"c13889"</definedName>
    <definedName name="IQ_NEGATIVE_FAIR_VALUE_DERIVATIVES_BENEFICIARY_FFIEC" hidden="1">"c13124"</definedName>
    <definedName name="IQ_NEGATIVE_FAIR_VALUE_DERIVATIVES_GUARANTOR_FFIEC" hidden="1">"c13117"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BOOKING_LOCATION_ADJUSTMENT_FOREIGN_FFIEC" hidden="1">"c15385"</definedName>
    <definedName name="IQ_NET_CHANGE" hidden="1">"c749"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CIQ_COL" hidden="1">"c11717"</definedName>
    <definedName name="IQ_NET_DEBT_EBITDA" hidden="1">"c750"</definedName>
    <definedName name="IQ_NET_DEBT_EBITDA_CAPEX" hidden="1">"c2949"</definedName>
    <definedName name="IQ_NET_DEBT_GUIDANCE_CIQ" hidden="1">"c5005"</definedName>
    <definedName name="IQ_NET_DEBT_GUIDANCE_CIQ_COL" hidden="1">"c11652"</definedName>
    <definedName name="IQ_NET_DEBT_HIGH_GUIDANCE_CIQ" hidden="1">"c4593"</definedName>
    <definedName name="IQ_NET_DEBT_HIGH_GUIDANCE_CIQ_COL" hidden="1">"c11242"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GUIDANCE_CIQ" hidden="1">"c4633"</definedName>
    <definedName name="IQ_NET_DEBT_LOW_GUIDANCE_CIQ_COL" hidden="1">"c11282"</definedName>
    <definedName name="IQ_NET_EARNED" hidden="1">"c2734"</definedName>
    <definedName name="IQ_NET_FUNDS_PURCHASED_ASSETS_TOT_FFIEC" hidden="1">"c13448"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HOMEBUILDING_SALES" hidden="1">"c15818"</definedName>
    <definedName name="IQ_NET_INCOME_LH_FFIEC" hidden="1">"c13110"</definedName>
    <definedName name="IQ_NET_INCOME_PC_FFIEC" hidden="1">"c13103"</definedName>
    <definedName name="IQ_NET_INCOME_SHE_FFIEC" hidden="1">"c12960"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INCOME_FFIEC" hidden="1">"c13001"</definedName>
    <definedName name="IQ_NET_INT_INCOME_FTE_FFIEC" hidden="1">"c13036"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INC_INTERNATIONAL_OPS_FFIEC" hidden="1">"c15375"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CORE_DEPOSITS_FFIEC" hidden="1">"c13341"</definedName>
    <definedName name="IQ_NET_LOANS_DEPOSITS_FFIEC" hidden="1">"c13340"</definedName>
    <definedName name="IQ_NET_LOANS_EQUITY_FFIEC" hidden="1">"c13347"</definedName>
    <definedName name="IQ_NET_LOANS_TOTAL_DEPOSITS" hidden="1">"c779"</definedName>
    <definedName name="IQ_NET_LOSSES" hidden="1">"c15873"</definedName>
    <definedName name="IQ_NET_NEW_CLIENT_ASSETS" hidden="1">"c20430"</definedName>
    <definedName name="IQ_NET_NONINTEREST_INC_EXP_INTERNATIONAL_OPS_FFIEC" hidden="1">"c15387"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_FOREIGN_FFIEC" hidden="1">"c15379"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WS" hidden="1">"c13743"</definedName>
    <definedName name="IQ_NEWS_DATE" hidden="1">"c13746"</definedName>
    <definedName name="IQ_NEWS_SOURCE" hidden="1">"c13745"</definedName>
    <definedName name="IQ_NEWS_TIME" hidden="1">"c13759"</definedName>
    <definedName name="IQ_NEWS_URL" hidden="1">"c13744"</definedName>
    <definedName name="IQ_NEXT_CALL_DATE" hidden="1">"c2198"</definedName>
    <definedName name="IQ_NEXT_CALL_PRICE" hidden="1">"c2199"</definedName>
    <definedName name="IQ_NEXT_DIV_AMOUNT" hidden="1">"c17414"</definedName>
    <definedName name="IQ_NEXT_DIV_PAYMENT_DATE" hidden="1">"c17413"</definedName>
    <definedName name="IQ_NEXT_DIV_PAYMENT_TYPE" hidden="1">"c17415"</definedName>
    <definedName name="IQ_NEXT_DIV_RECORD_DATE" hidden="1">"c17412"</definedName>
    <definedName name="IQ_NEXT_EARNINGS_DATE" hidden="1">"c13592"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EXT_XDIV_DATE" hidden="1">"c17411"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_CIQ_COL" hidden="1">"c11712"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AVG_ASSETS_FFIEC" hidden="1">"c13370"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FFIEC" hidden="1">"c13034"</definedName>
    <definedName name="IQ_NI_GAAP_GUIDANCE_CIQ" hidden="1">"c5008"</definedName>
    <definedName name="IQ_NI_GAAP_GUIDANCE_CIQ_COL" hidden="1">"c11655"</definedName>
    <definedName name="IQ_NI_GAAP_HIGH_GUIDANCE_CIQ" hidden="1">"c4589"</definedName>
    <definedName name="IQ_NI_GAAP_HIGH_GUIDANCE_CIQ_COL" hidden="1">"c11238"</definedName>
    <definedName name="IQ_NI_GAAP_LOW_GUIDANCE_CIQ" hidden="1">"c4629"</definedName>
    <definedName name="IQ_NI_GAAP_LOW_GUIDANCE_CIQ_COL" hidden="1">"c11278"</definedName>
    <definedName name="IQ_NI_GUIDANCE_CIQ" hidden="1">"c5007"</definedName>
    <definedName name="IQ_NI_GUIDANCE_CIQ_COL" hidden="1">"c11654"</definedName>
    <definedName name="IQ_NI_GW_GUIDANCE_CIQ" hidden="1">"c5009"</definedName>
    <definedName name="IQ_NI_GW_GUIDANCE_CIQ_COL" hidden="1">"c11656"</definedName>
    <definedName name="IQ_NI_GW_HIGH_GUIDANCE_CIQ" hidden="1">"c4590"</definedName>
    <definedName name="IQ_NI_GW_HIGH_GUIDANCE_CIQ_COL" hidden="1">"c11239"</definedName>
    <definedName name="IQ_NI_GW_LOW_GUIDANCE_CIQ" hidden="1">"c4630"</definedName>
    <definedName name="IQ_NI_GW_LOW_GUIDANCE_CIQ_COL" hidden="1">"c11279"</definedName>
    <definedName name="IQ_NI_HIGH_GUIDANCE_CIQ" hidden="1">"c4588"</definedName>
    <definedName name="IQ_NI_HIGH_GUIDANCE_CIQ_COL" hidden="1">"c11237"</definedName>
    <definedName name="IQ_NI_LOW_GUIDANCE_CIQ" hidden="1">"c4628"</definedName>
    <definedName name="IQ_NI_LOW_GUIDANCE_CIQ_COL" hidden="1">"c11277"</definedName>
    <definedName name="IQ_NI_MARGIN" hidden="1">"c794"</definedName>
    <definedName name="IQ_NI_NON_CONTROLLING_INTERESTS_FFIEC" hidden="1">"c15366"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" hidden="1">"c4474"</definedName>
    <definedName name="IQ_NI_SBC_ACT_OR_EST_CIQ_COL" hidden="1">"c11659"</definedName>
    <definedName name="IQ_NI_SBC_GUIDANCE" hidden="1">"c4475"</definedName>
    <definedName name="IQ_NI_SBC_GUIDANCE_CIQ" hidden="1">"c5013"</definedName>
    <definedName name="IQ_NI_SBC_GUIDANCE_CIQ_COL" hidden="1">"c11660"</definedName>
    <definedName name="IQ_NI_SBC_GW_ACT_OR_EST" hidden="1">"c4478"</definedName>
    <definedName name="IQ_NI_SBC_GW_ACT_OR_EST_CIQ_COL" hidden="1">"c11663"</definedName>
    <definedName name="IQ_NI_SBC_GW_GUIDANCE" hidden="1">"c4479"</definedName>
    <definedName name="IQ_NI_SBC_GW_GUIDANCE_CIQ" hidden="1">"c5017"</definedName>
    <definedName name="IQ_NI_SBC_GW_GUIDANCE_CIQ_COL" hidden="1">"c11664"</definedName>
    <definedName name="IQ_NI_SBC_GW_HIGH_GUIDANCE" hidden="1">"c4187"</definedName>
    <definedName name="IQ_NI_SBC_GW_HIGH_GUIDANCE_CIQ" hidden="1">"c4599"</definedName>
    <definedName name="IQ_NI_SBC_GW_HIGH_GUIDANCE_CIQ_COL" hidden="1">"c11248"</definedName>
    <definedName name="IQ_NI_SBC_GW_LOW_GUIDANCE" hidden="1">"c4227"</definedName>
    <definedName name="IQ_NI_SBC_GW_LOW_GUIDANCE_CIQ" hidden="1">"c4639"</definedName>
    <definedName name="IQ_NI_SBC_GW_LOW_GUIDANCE_CIQ_COL" hidden="1">"c11288"</definedName>
    <definedName name="IQ_NI_SBC_HIGH_GUIDANCE" hidden="1">"c4186"</definedName>
    <definedName name="IQ_NI_SBC_HIGH_GUIDANCE_CIQ" hidden="1">"c4598"</definedName>
    <definedName name="IQ_NI_SBC_HIGH_GUIDANCE_CIQ_COL" hidden="1">"c11247"</definedName>
    <definedName name="IQ_NI_SBC_LOW_GUIDANCE" hidden="1">"c4226"</definedName>
    <definedName name="IQ_NI_SBC_LOW_GUIDANCE_CIQ" hidden="1">"c4638"</definedName>
    <definedName name="IQ_NI_SBC_LOW_GUIDANCE_CIQ_COL" hidden="1">"c11287"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_ALLOW_RECEIVABLES_FFIEC" hidden="1">"c13353"</definedName>
    <definedName name="IQ_NON_ACCRUAL_ASSET_SOLD_DURING_QTR_FFIEC" hidden="1">"c15350"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CURRENT_LOANS_FFIEC" hidden="1">"c13860"</definedName>
    <definedName name="IQ_NON_FARM_NONRES_PROPERTIES_TRADING_DOM_FFIEC" hidden="1">"c12931"</definedName>
    <definedName name="IQ_NON_INS_EXP" hidden="1">"c798"</definedName>
    <definedName name="IQ_NON_INS_REV" hidden="1">"c799"</definedName>
    <definedName name="IQ_NON_INT_BAL_OTHER_INSTITUTIONS_FFIEC" hidden="1">"c12950"</definedName>
    <definedName name="IQ_NON_INT_BEAR_CD" hidden="1">"c800"</definedName>
    <definedName name="IQ_NON_INT_BEARING_DEPOSITS" hidden="1">"c800"</definedName>
    <definedName name="IQ_NON_INT_DEPOSITS_DOM_FFIEC" hidden="1">"c12851"</definedName>
    <definedName name="IQ_NON_INT_DEPOSITS_FOREIGN_FFIEC" hidden="1">"c12854"</definedName>
    <definedName name="IQ_NON_INT_EXP" hidden="1">"c801"</definedName>
    <definedName name="IQ_NON_INT_EXP_AVG_ASSETS_FFIEC" hidden="1">"c18878"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ENSE_AVG_ASSET" hidden="1">"c15708"</definedName>
    <definedName name="IQ_NON_INT_EXPENSE_FFIEC" hidden="1">"c13028"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AVG_ASSETS_FFIEC" hidden="1">"c13359"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OPERATING_INC_FFIEC" hidden="1">"c13382"</definedName>
    <definedName name="IQ_NON_INT_INCOME_AVG_ASSET" hidden="1">"c15707"</definedName>
    <definedName name="IQ_NON_INT_INCOME_FFIEC" hidden="1">"c13017"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ASSETS_FFIEC" hidden="1">"c13859"</definedName>
    <definedName name="IQ_NON_PERFORMING_LOANS" hidden="1">"c827"</definedName>
    <definedName name="IQ_NON_PERFORMING_LOANS_FFIEC" hidden="1">"c13861"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_LEASE_FIN_REC_FFIEC" hidden="1">"c13625"</definedName>
    <definedName name="IQ_NONCASH_INCOME_AMORT_CLOSED_END_LOANS_FFIEC" hidden="1">"c13078"</definedName>
    <definedName name="IQ_NONCASH_PENSION_EXP" hidden="1">"c3000"</definedName>
    <definedName name="IQ_NONCORE_ASSETS_TOT_FFIEC" hidden="1">"c13443"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NONRES_DOM_FFIEC" hidden="1">"c15271"</definedName>
    <definedName name="IQ_NONFARM_NONRES_GROSS_LOANS_FFIEC" hidden="1">"c13405"</definedName>
    <definedName name="IQ_NONFARM_NONRES_LL_REC_DOM_FFIEC" hidden="1">"c13626"</definedName>
    <definedName name="IQ_NONFARM_NONRES_RISK_BASED_FFIEC" hidden="1">"c13426"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CASH_FFIEC" hidden="1">"c12774"</definedName>
    <definedName name="IQ_NONINTEREST_INC_FOREIGN_FFIEC" hidden="1">"c15376"</definedName>
    <definedName name="IQ_NONQUALIFYING_PREFERRED_T1_FFIEC" hidden="1">"c13134"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" hidden="1">"c8468"</definedName>
    <definedName name="IQ_NONRES_FIXED_INVEST_PRIV_APR_UNUSED" hidden="1">"c7588"</definedName>
    <definedName name="IQ_NONRES_FIXED_INVEST_PRIV_FC_UNUSED" hidden="1">"c7808"</definedName>
    <definedName name="IQ_NONRES_FIXED_INVEST_PRIV_POP_FC_UNUSED" hidden="1">"c8028"</definedName>
    <definedName name="IQ_NONRES_FIXED_INVEST_PRIV_POP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" hidden="1">"c8248"</definedName>
    <definedName name="IQ_NONRES_FIXED_INVEST_PRIV_YOY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DING_SECURITIES_FAIR_VALUE_TOT_FFIEC" hidden="1">"c13211"</definedName>
    <definedName name="IQ_NONTRADING_SECURITIES_LEVEL_1_FFIEC" hidden="1">"c13219"</definedName>
    <definedName name="IQ_NONTRADING_SECURITIES_LEVEL_2_FFIEC" hidden="1">"c13227"</definedName>
    <definedName name="IQ_NONTRADING_SECURITIES_LEVEL_3_FFIEC" hidden="1">"c13235"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T_DERIVATIVES_BENEFICIARY_FFIEC" hidden="1">"c13118"</definedName>
    <definedName name="IQ_NOTIONAL_AMT_DERIVATIVES_GUARANTOR_FFIEC" hidden="1">"c13111"</definedName>
    <definedName name="IQ_NOW_ACCOUNT" hidden="1">"c828"</definedName>
    <definedName name="IQ_NOW_ATS_ACCOUNTS_COMMERCIAL_BANK_SUBS_FFIEC" hidden="1">"c12946"</definedName>
    <definedName name="IQ_NOW_ATS_ACCOUNTS_OTHER_INSTITUTIONS_FFIEC" hidden="1">"c12951"</definedName>
    <definedName name="IQ_NOW_OTHER_TRANS_ACCTS_TOT_DEPOSITS_FFIEC" hidden="1">"c13903"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CONTRIBUTORS" hidden="1">"c13739"</definedName>
    <definedName name="IQ_NUMBER_ADRHOLDERS" hidden="1">"c1970"</definedName>
    <definedName name="IQ_NUMBER_CELL_SITES" hidden="1">"c15762"</definedName>
    <definedName name="IQ_NUMBER_DAYS" hidden="1">"c1904"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TRADES_EXECUTED" hidden="1">"c20428"</definedName>
    <definedName name="IQ_NUMBER_WIRELESS_TOWERS" hidden="1">"c15766"</definedName>
    <definedName name="IQ_OBLIGATION_STATES_POLI_SUBD_US_LL_REC_DOM_FFIEC" hidden="1">"c15295"</definedName>
    <definedName name="IQ_OBLIGATION_STATES_POLI_SUBD_US_LL_REC_FFIEC" hidden="1">"c15294"</definedName>
    <definedName name="IQ_OCCUPANCY_CONSOL" hidden="1">"c8840"</definedName>
    <definedName name="IQ_OCCUPANCY_EXP_AVG_ASSETS_FFIEC" hidden="1">"c13372"</definedName>
    <definedName name="IQ_OCCUPANCY_EXP_OPERATING_INC_FFIEC" hidden="1">"c13380"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"c12732"</definedName>
    <definedName name="IQ_OG_DAILY_PRDUCTION_GROWTH_GAS_EQUIVALENT" hidden="1">"c12733"</definedName>
    <definedName name="IQ_OG_DAILY_PRDUCTION_GROWTH_NGL" hidden="1">"c12734"</definedName>
    <definedName name="IQ_OG_DAILY_PRDUCTION_GROWTH_OIL" hidden="1">"c12735"</definedName>
    <definedName name="IQ_OG_DAILY_PRDUCTION_GROWTH_OIL_EQUIVALENT" hidden="1">"c12736"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ITY_RESERVES_GAS" hidden="1">"c2050"</definedName>
    <definedName name="IQ_OG_EQUITY_RESERVES_NGL" hidden="1">"c2921"</definedName>
    <definedName name="IQ_OG_EQUITY_RESERVES_OIL" hidden="1">"c2038"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PRODUCTIVE_WELLS_DRILLED_GAS" hidden="1">"c15907"</definedName>
    <definedName name="IQ_OG_GROSS_DEVELOPMENT_PRODUCTIVE_WELLS_DRILLED_OIL" hidden="1">"c15906"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PRODUCTIVE_WELLS_DRILLED_GAS" hidden="1">"c15905"</definedName>
    <definedName name="IQ_OG_GROSS_EXPLORATORY_PRODUCTIVE_WELLS_DRILLED_OIL" hidden="1">"c15904"</definedName>
    <definedName name="IQ_OG_GROSS_EXPLORATORY_TOTAL_WELLS_DRILLED" hidden="1">"c10096"</definedName>
    <definedName name="IQ_OG_GROSS_OPERATED_WELLS" hidden="1">"c10092"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PRODUCTIVE_WELLS_DRILLED_GAS" hidden="1">"c15911"</definedName>
    <definedName name="IQ_OG_NET_DEVELOPMENT_PRODUCTIVE_WELLS_DRILLED_OIL" hidden="1">"c15910"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PRODUCTIVE_WELLS_DRILLED_GAS" hidden="1">"c15909"</definedName>
    <definedName name="IQ_OG_NET_EXPLORATORY_PRODUCTIVE_WELLS_DRILLED_OIL" hidden="1">"c15908"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"c12737"</definedName>
    <definedName name="IQ_OG_PRDUCTION_GROWTH_GAS_EQUIVALENT" hidden="1">"c12738"</definedName>
    <definedName name="IQ_OG_PRDUCTION_GROWTH_NGL" hidden="1">"c12739"</definedName>
    <definedName name="IQ_OG_PRDUCTION_GROWTH_OIL" hidden="1">"c12740"</definedName>
    <definedName name="IQ_OG_PRDUCTION_GROWTH_OIL_EQUIVALENT" hidden="1">"c12741"</definedName>
    <definedName name="IQ_OG_PRDUCTION_GROWTH_TOAL" hidden="1">"c12742"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NG_EXP_AVG_ASSETS_FFIEC" hidden="1">"c13373"</definedName>
    <definedName name="IQ_OPERATING_INC_AVG_ASSETS_FFIEC" hidden="1">"c13368"</definedName>
    <definedName name="IQ_OPERATING_INC_TE_AVG_ASSETS_FFIEC" hidden="1">"c13360"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FFIEC" hidden="1">"c12831"</definedName>
    <definedName name="IQ_OREO_FOREIGN_FFIEC" hidden="1">"c15273"</definedName>
    <definedName name="IQ_OREO_OTHER_FFIEC" hidden="1">"c12833"</definedName>
    <definedName name="IQ_ORGANIC_GROWTH_RATE" hidden="1">"c20429"</definedName>
    <definedName name="IQ_OTHER_ADDITIONS_T1_FFIEC" hidden="1">"c13142"</definedName>
    <definedName name="IQ_OTHER_ADDITIONS_T2_FFIEC" hidden="1">"c13148"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DJUSTMENTS_COVERED" hidden="1">"c9961"</definedName>
    <definedName name="IQ_OTHER_ADJUSTMENTS_FFIEC" hidden="1">"c12972"</definedName>
    <definedName name="IQ_OTHER_ADJUSTMENTS_GROUP" hidden="1">"c9947"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FIEC" hidden="1">"c12848"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TOTAL_FFIEC" hidden="1">"c12841"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MONEY_FAIR_VALUE_TOT_FFIEC" hidden="1">"c15409"</definedName>
    <definedName name="IQ_OTHER_BORROWED_MONEY_FFIEC" hidden="1">"c12862"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BORROWED_MONEY_LT_FFIEC" hidden="1">"c12865"</definedName>
    <definedName name="IQ_OTHER_BORROWED_MONEY_ST_FFIEC" hidden="1">"c12864"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FIEC" hidden="1">"c12970"</definedName>
    <definedName name="IQ_OTHER_CONSTRUCTION_GROSS_LOANS_FFIEC" hidden="1">"c13403"</definedName>
    <definedName name="IQ_OTHER_CONSTRUCTION_LOANS_DUE_30_89_FFIEC" hidden="1">"c13258"</definedName>
    <definedName name="IQ_OTHER_CONSTRUCTION_LOANS_DUE_90_FFIEC" hidden="1">"c13286"</definedName>
    <definedName name="IQ_OTHER_CONSTRUCTION_LOANS_NON_ACCRUAL_FFIEC" hidden="1">"c13312"</definedName>
    <definedName name="IQ_OTHER_CONSTRUCTION_LOANS_UNUSED_FFIEC" hidden="1">"c13245"</definedName>
    <definedName name="IQ_OTHER_CONSTRUCTION_RISK_BASED_FFIEC" hidden="1">"c13424"</definedName>
    <definedName name="IQ_OTHER_CONSUMER_LL_REC_FFIEC" hidden="1">"c12891"</definedName>
    <definedName name="IQ_OTHER_CONSUMER_LOANS_FFIEC" hidden="1">"c12824"</definedName>
    <definedName name="IQ_OTHER_CONSUMER_LOANS_TRADING_DOM_FFIEC" hidden="1">"c12935"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BT_SEC_DOM_AFS_AMORT_COST_FFIEC" hidden="1">"c20503"</definedName>
    <definedName name="IQ_OTHER_DEBT_SEC_DOM_AFS_FAIR_VAL_FFIEC" hidden="1">"c20468"</definedName>
    <definedName name="IQ_OTHER_DEBT_SEC_DOM_AVAIL_SALE_FFIEC" hidden="1">"c12803"</definedName>
    <definedName name="IQ_OTHER_DEBT_SEC_FOREIGN_AFS_AMORT_COST_FFIEC" hidden="1">"c20504"</definedName>
    <definedName name="IQ_OTHER_DEBT_SEC_FOREIGN_AFS_FAIR_VAL_FFIEC" hidden="1">"c20469"</definedName>
    <definedName name="IQ_OTHER_DEBT_SEC_FOREIGN_AVAIL_SALE_FFIEC" hidden="1">"c12804"</definedName>
    <definedName name="IQ_OTHER_DEBT_SEC_INVEST_SECURITIES_FFIEC" hidden="1">"c13462"</definedName>
    <definedName name="IQ_OTHER_DEBT_SEC_TRADING_DOM_FFIEC" hidden="1">"c12924"</definedName>
    <definedName name="IQ_OTHER_DEBT_SEC_TRADING_FFIEC" hidden="1">"c12819"</definedName>
    <definedName name="IQ_OTHER_DEBT_SECURITIES_DOM_FFIEC" hidden="1">"c12789"</definedName>
    <definedName name="IQ_OTHER_DEBT_SECURITIES_DOM_HTM_AMORT_COST_FFIEC" hidden="1">"c20451"</definedName>
    <definedName name="IQ_OTHER_DEBT_SECURITIES_DOM_HTM_FAIR_VAL_FFIEC" hidden="1">"c20486"</definedName>
    <definedName name="IQ_OTHER_DEBT_SECURITIES_FOREIGN_FFIEC" hidden="1">"c12790"</definedName>
    <definedName name="IQ_OTHER_DEBT_SECURITIES_FOREIGN_HTM_AMORT_COST_FFIEC" hidden="1">"c20452"</definedName>
    <definedName name="IQ_OTHER_DEBT_SECURITIES_FOREIGN_HTM_FAIR_VAL_FFIEC" hidden="1">"c20487"</definedName>
    <definedName name="IQ_OTHER_DEBT_SECURITIES_QUARTERLY_AVG_FFIEC" hidden="1">"c15473"</definedName>
    <definedName name="IQ_OTHER_DEDUCTIONS_LEVERAGE_RATIO_FFIEC" hidden="1">"c13158"</definedName>
    <definedName name="IQ_OTHER_DEP" hidden="1">"c885"</definedName>
    <definedName name="IQ_OTHER_DEPOSITS_FFIEC" hidden="1">"c12994"</definedName>
    <definedName name="IQ_OTHER_DEPOSITS_TOTAL_DEPOSITS" hidden="1">"c15724"</definedName>
    <definedName name="IQ_OTHER_DERIVATIVES_BENEFICIARY_FFIEC" hidden="1">"c13122"</definedName>
    <definedName name="IQ_OTHER_DERIVATIVES_GUARANTOR_FFIEC" hidden="1">"c13115"</definedName>
    <definedName name="IQ_OTHER_DEVELOPMENT_EXPENSE" hidden="1">"c16041"</definedName>
    <definedName name="IQ_OTHER_DEVELOPMENT_REVENUE" hidden="1">"c16025"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CAPITAL_COMPS_FFIEC" hidden="1">"c12880"</definedName>
    <definedName name="IQ_OTHER_EQUITY_FFIEC" hidden="1">"c12879"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EXP_OPERATING_INC_FFIEC" hidden="1">"c13381"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FOREIGN_LOANS_FOREIGN_FFIEC" hidden="1">"c13482"</definedName>
    <definedName name="IQ_OTHER_IBF_DEPOSIT_LIABILITIES_FFIEC" hidden="1">"c15301"</definedName>
    <definedName name="IQ_OTHER_INDIVIDUAL_FAMILY_DOM_QUARTERLY_AVG_FFIEC" hidden="1">"c15481"</definedName>
    <definedName name="IQ_OTHER_INSURANCE_PREMIUMS_FFIEC" hidden="1">"c13071"</definedName>
    <definedName name="IQ_OTHER_INT_EXPENSE_FFIEC" hidden="1">"c12999"</definedName>
    <definedName name="IQ_OTHER_INT_INCOME_FFIEC" hidden="1">"c12988"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ASSETS_FFIEC" hidden="1">"c12837"</definedName>
    <definedName name="IQ_OTHER_INTANGIBLE_ASSETS_TOT_FFIEC" hidden="1">"c12840"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EASES_DUE_30_89_FFIEC" hidden="1">"c13278"</definedName>
    <definedName name="IQ_OTHER_LEASES_DUE_90_FFIEC" hidden="1">"c13304"</definedName>
    <definedName name="IQ_OTHER_LEASES_LL_REC_FFIEC" hidden="1">"c12896"</definedName>
    <definedName name="IQ_OTHER_LEASES_NON_ACCRUAL_FFIEC" hidden="1">"c13330"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FIEC" hidden="1">"c12872"</definedName>
    <definedName name="IQ_OTHER_LIABILITIES_TOTAL_FFIEC" hidden="1">"c12869"</definedName>
    <definedName name="IQ_OTHER_LL_REC_FFIEC" hidden="1">"c12894"</definedName>
    <definedName name="IQ_OTHER_LOANS" hidden="1">"c945"</definedName>
    <definedName name="IQ_OTHER_LOANS_DUE_30_89_FFIEC" hidden="1">"c13275"</definedName>
    <definedName name="IQ_OTHER_LOANS_DUE_90_FFIEC" hidden="1">"c13301"</definedName>
    <definedName name="IQ_OTHER_LOANS_FFIEC" hidden="1">"c12825"</definedName>
    <definedName name="IQ_OTHER_LOANS_GROSS_LOANS_FFIEC" hidden="1">"c13414"</definedName>
    <definedName name="IQ_OTHER_LOANS_INDIVIDUALS_CHARGE_OFFS_FFIEC" hidden="1">"c13181"</definedName>
    <definedName name="IQ_OTHER_LOANS_INDIVIDUALS_DUE_30_89_FFIEC" hidden="1">"c13273"</definedName>
    <definedName name="IQ_OTHER_LOANS_INDIVIDUALS_DUE_90_FFIEC" hidden="1">"c13299"</definedName>
    <definedName name="IQ_OTHER_LOANS_INDIVIDUALS_NON_ACCRUAL_FFIEC" hidden="1">"c13325"</definedName>
    <definedName name="IQ_OTHER_LOANS_INDIVIDUALS_RECOV_FFIEC" hidden="1">"c13203"</definedName>
    <definedName name="IQ_OTHER_LOANS_LL_REC_DOM_FFIEC" hidden="1">"c12914"</definedName>
    <definedName name="IQ_OTHER_LOANS_NON_ACCRUAL_FFIEC" hidden="1">"c13327"</definedName>
    <definedName name="IQ_OTHER_LOANS_RISK_BASED_FFIEC" hidden="1">"c13435"</definedName>
    <definedName name="IQ_OTHER_LOANS_TOTAL_LOANS" hidden="1">"c15716"</definedName>
    <definedName name="IQ_OTHER_LOANS_TRADING_DOM_FFIEC" hidden="1">"c12936"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MBS_AFS_AMORT_COST_FFIEC" hidden="1">"c20498"</definedName>
    <definedName name="IQ_OTHER_MBS_AFS_FAIR_VAL_FFIEC" hidden="1">"c20463"</definedName>
    <definedName name="IQ_OTHER_MBS_AVAIL_SALE_FFIEC" hidden="1">"c12801"</definedName>
    <definedName name="IQ_OTHER_MBS_FFIEC" hidden="1">"c12787"</definedName>
    <definedName name="IQ_OTHER_MBS_HTM_AMORT_COST_FFIEC" hidden="1">"c20446"</definedName>
    <definedName name="IQ_OTHER_MBS_HTM_FAIR_VAL_FFIEC" hidden="1">"c20481"</definedName>
    <definedName name="IQ_OTHER_MBS_ISSUED_FNMA_GNMA_TRADING_DOM_FFIEC" hidden="1">"c12922"</definedName>
    <definedName name="IQ_OTHER_MBS_ISSUED_FNMA_GNMA_TRADING_FFIEC" hidden="1">"c12817"</definedName>
    <definedName name="IQ_OTHER_MBS_TRADING_DOM_FFIEC" hidden="1">"c12923"</definedName>
    <definedName name="IQ_OTHER_MBS_TRADING_FFIEC" hidden="1">"c12818"</definedName>
    <definedName name="IQ_OTHER_MINING_REVENUE_COAL" hidden="1">"c15931"</definedName>
    <definedName name="IQ_OTHER_NET" hidden="1">"c1453"</definedName>
    <definedName name="IQ_OTHER_NON_INT_ALLOCATIONS_FFIEC" hidden="1">"c13065"</definedName>
    <definedName name="IQ_OTHER_NON_INT_EXP" hidden="1">"c953"</definedName>
    <definedName name="IQ_OTHER_NON_INT_EXP_FFIEC" hidden="1">"c13027"</definedName>
    <definedName name="IQ_OTHER_NON_INT_EXP_TOTAL" hidden="1">"c954"</definedName>
    <definedName name="IQ_OTHER_NON_INT_INC" hidden="1">"c955"</definedName>
    <definedName name="IQ_OTHER_NON_INT_INC_OPERATING_INC_FFIEC" hidden="1">"c13392"</definedName>
    <definedName name="IQ_OTHER_NON_INT_INCOME_FFIEC" hidden="1">"c13016"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FARM_NONRES_GROSS_LOANS_FFIEC" hidden="1">"c13407"</definedName>
    <definedName name="IQ_OTHER_NONFARM_NONRES_LL_REC_DOM_FFIEC" hidden="1">"c12907"</definedName>
    <definedName name="IQ_OTHER_NONFARM_NONRES_RISK_BASED_FFIEC" hidden="1">"c13428"</definedName>
    <definedName name="IQ_OTHER_NONINTEREST_INC_FOREIGN_FFIEC" hidden="1">"c15380"</definedName>
    <definedName name="IQ_OTHER_OFF_BS_ITEMS_FFIEC" hidden="1">"c13126"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OVER_TOTAL" hidden="1">"c13770"</definedName>
    <definedName name="IQ_OTHER_PC_WRITTEN" hidden="1">"c1006"</definedName>
    <definedName name="IQ_OTHER_PROP" hidden="1">"c8764"</definedName>
    <definedName name="IQ_OTHER_PROP_OPERATING_EXPENSE" hidden="1">"c16043"</definedName>
    <definedName name="IQ_OTHER_PROP_OPERATING_REVENUE" hidden="1">"c16027"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EVOL_CREDIT_CONSUMER_LOANS_FFIEC" hidden="1">"c12823"</definedName>
    <definedName name="IQ_OTHER_REVOLVING_CREDIT_LL_REC_FFIEC" hidden="1">"c12890"</definedName>
    <definedName name="IQ_OTHER_REVOLVING_CREDIT_LOANS_TRADING_DOM_FFIEC" hidden="1">"c12934"</definedName>
    <definedName name="IQ_OTHER_ROOMS" hidden="1">"c8788"</definedName>
    <definedName name="IQ_OTHER_SAVINGS_DEPOSITS_NON_TRANS_ACCTS_FFIEC" hidden="1">"c15331"</definedName>
    <definedName name="IQ_OTHER_SECURITIES_QUARTERLY_AVG_FFIEC" hidden="1">"c15472"</definedName>
    <definedName name="IQ_OTHER_SQ_FT" hidden="1">"c8780"</definedName>
    <definedName name="IQ_OTHER_STRIKE_PRICE_GRANTED" hidden="1">"c2692"</definedName>
    <definedName name="IQ_OTHER_TAX_EQUIVALENT_ADJUSTMENTS_FFIEC" hidden="1">"c13855"</definedName>
    <definedName name="IQ_OTHER_TRADING_ASSETS_FAIR_VALUE_TOT_FFIEC" hidden="1">"c15404"</definedName>
    <definedName name="IQ_OTHER_TRADING_ASSETS_FFIEC" hidden="1">"c12826"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ASSETS_TOTAL_FFIEC" hidden="1">"c12937"</definedName>
    <definedName name="IQ_OTHER_TRADING_LIABILITIES_FAIR_VALUE_TOT_FFIEC" hidden="1">"c15408"</definedName>
    <definedName name="IQ_OTHER_TRADING_LIABILITIES_FFIEC" hidden="1">"c12860"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UNDRAWN" hidden="1">"c2522"</definedName>
    <definedName name="IQ_OTHER_UNITS" hidden="1">"c8772"</definedName>
    <definedName name="IQ_OTHER_UNUSED_FFIEC" hidden="1">"c13248"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SUPPLE" hidden="1">"c13816"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HEAD_EXP_AVG_ASSETS_FFIEC" hidden="1">"c13361"</definedName>
    <definedName name="IQ_OVERHEAD_EXP_REV_FFIEC" hidden="1">"c13494"</definedName>
    <definedName name="IQ_OVERHEAD_NON_INT_INC_AVG_ASSETS_FFIEC" hidden="1">"c13374"</definedName>
    <definedName name="IQ_OVERHEAD_NON_INT_OPERATING_INC_FFIEC" hidden="1">"c13393"</definedName>
    <definedName name="IQ_OVERHEAD_OPERATING_INC_FFIEC" hidden="1">"c13378"</definedName>
    <definedName name="IQ_OWNED_RESERVES_COAL" hidden="1">"c15916"</definedName>
    <definedName name="IQ_OWNED_RESERVES_TO_TOTAL_RESERVES_COAL" hidden="1">"c15957"</definedName>
    <definedName name="IQ_OWNER_OCCUPIED_GROSS_LOANS_FFIEC" hidden="1">"c13406"</definedName>
    <definedName name="IQ_OWNER_OCCUPIED_LOANS_RISK_BASED_FFIEC" hidden="1">"c13427"</definedName>
    <definedName name="IQ_OWNER_OCCUPIED_NONFARM_NONRES_LL_REC_DOM_FFIEC" hidden="1">"c12906"</definedName>
    <definedName name="IQ_OWNERSHIP" hidden="1">"c2160"</definedName>
    <definedName name="IQ_PART_TIME" hidden="1">"c1024"</definedName>
    <definedName name="IQ_PARTICIPATIONS_ACCEPTANCES_FFIEC" hidden="1">"c13254"</definedName>
    <definedName name="IQ_PARTNERSHIP_INC_RE" hidden="1">"c12039"</definedName>
    <definedName name="IQ_PASS_THROUGH_FNMA_GNMA_TRADING_FFIEC" hidden="1">"c12816"</definedName>
    <definedName name="IQ_PAST_DUE_ALLOW_GROSS_LOANS_FFIEC" hidden="1">"c13416"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AGE_RENT" hidden="1">"c16018"</definedName>
    <definedName name="IQ_PERCENTAGE_RENT_RENTAL_REVENUE" hidden="1">"c16063"</definedName>
    <definedName name="IQ_PERFORMANCE_LOC_FOREIGN_GUARANTEES_FFIEC" hidden="1">"c13251"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FFIEC" hidden="1">"c13645"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SONNEL_EXP_AVG_ASSETS_FFIEC" hidden="1">"c13371"</definedName>
    <definedName name="IQ_PERSONNEL_EXP_OPERATING_INC_FFIEC" hidden="1">"c13379"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_APPROVED_DURING_PERIOD" hidden="1">"c12750"</definedName>
    <definedName name="IQ_PHARMBIO_NUMBER_PROD__CLINICAL_DEV" hidden="1">"c12745"</definedName>
    <definedName name="IQ_PHARMBIO_NUMBER_PROD__LAUNCHED_DURING_PERIOD" hidden="1">"c12751"</definedName>
    <definedName name="IQ_PHARMBIO_NUMBER_PROD__PHASE_I" hidden="1">"c12746"</definedName>
    <definedName name="IQ_PHARMBIO_NUMBER_PROD__PHASE_II" hidden="1">"c12747"</definedName>
    <definedName name="IQ_PHARMBIO_NUMBER_PROD__PHASE_III" hidden="1">"c12748"</definedName>
    <definedName name="IQ_PHARMBIO_NUMBER_PROD__PRE_CLINICAL_TRIALS" hidden="1">"c12744"</definedName>
    <definedName name="IQ_PHARMBIO_NUMBER_PROD__PRE_REGISTRATION" hidden="1">"c12749"</definedName>
    <definedName name="IQ_PHARMBIO_NUMBER_PROD__RESEARCH_DEV" hidden="1">"c12743"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_INVEST_SECURITIES_FFIEC" hidden="1">"c13467"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LICYHOLDER_BENEFITS_LH_FFIEC" hidden="1">"c13107"</definedName>
    <definedName name="IQ_POOL_AMT_ORIGINAL" hidden="1">"c8970"</definedName>
    <definedName name="IQ_POOL_NAME" hidden="1">"c8967"</definedName>
    <definedName name="IQ_POOL_NUMBER" hidden="1">"c8968"</definedName>
    <definedName name="IQ_POOL_TYPE" hidden="1">"c8969"</definedName>
    <definedName name="IQ_PORTFOLIO_SHARES" hidden="1">"c19116"</definedName>
    <definedName name="IQ_POSITIVE_FAIR_VALUE_DERIVATIVES_BENEFICIARY_FFIEC" hidden="1">"c13123"</definedName>
    <definedName name="IQ_POSITIVE_FAIR_VALUE_DERIVATIVES_GUARANTOR_FFIEC" hidden="1">"c13116"</definedName>
    <definedName name="IQ_POST_RETIRE_EXP" hidden="1">"c1039"</definedName>
    <definedName name="IQ_POSTAGE_FFIEC" hidden="1">"c13051"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ACT_OR_EST_CIQ_COL" hidden="1">"c11711"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STOCK_FFIEC" hidden="1">"c12875"</definedName>
    <definedName name="IQ_PREF_TOT" hidden="1">"c1415"</definedName>
    <definedName name="IQ_PREFERRED_DEPOSITS_FFIEC" hidden="1">"c15312"</definedName>
    <definedName name="IQ_PREFERRED_LIST" hidden="1">"c13506"</definedName>
    <definedName name="IQ_PREMISES_FIXED_ASSETS_CAP_LEASES_FFIEC" hidden="1">"c12830"</definedName>
    <definedName name="IQ_PREMIUM_INSURANCE_CREDIT_FFIEC" hidden="1">"c13070"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SIDENT_ID" hidden="1">"c15216"</definedName>
    <definedName name="IQ_PRESIDENT_NAME" hidden="1">"c15215"</definedName>
    <definedName name="IQ_PRETAX_INC_AFTER_CAP_ALLOCATION_FOREIGN_FFIEC" hidden="1">"c15390"</definedName>
    <definedName name="IQ_PRETAX_INC_BEFORE_CAP_ALLOCATION_FOREIGN_FFIEC" hidden="1">"c15388"</definedName>
    <definedName name="IQ_PRETAX_OPERATING_INC_AVG_ASSETS_FFIEC" hidden="1">"c13365"</definedName>
    <definedName name="IQ_PREV_MONTHLY_FACTOR" hidden="1">"c8973"</definedName>
    <definedName name="IQ_PREV_MONTHLY_FACTOR_DATE" hidden="1">"c8974"</definedName>
    <definedName name="IQ_PREVIOUS_TIME_RT" hidden="1">"PREVIOUSLASTTIME"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SALES" hidden="1">"c17552"</definedName>
    <definedName name="IQ_PRICE_TARGET" hidden="1">"c82"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_CIQ_COL" hidden="1">"c11677"</definedName>
    <definedName name="IQ_PRICE_VOLATILITY_HIGH_CIQ_COL" hidden="1">"c11678"</definedName>
    <definedName name="IQ_PRICE_VOLATILITY_LOW_CIQ_COL" hidden="1">"c11679"</definedName>
    <definedName name="IQ_PRICE_VOLATILITY_MEDIAN_CIQ_COL" hidden="1">"c11680"</definedName>
    <definedName name="IQ_PRICE_VOLATILITY_NUM_CIQ_COL" hidden="1">"c11681"</definedName>
    <definedName name="IQ_PRICE_VOLATILITY_STDDEV_CIQ_COL" hidden="1">"c11682"</definedName>
    <definedName name="IQ_PRICEDATE" hidden="1">"c1069"</definedName>
    <definedName name="IQ_PRICING_DATE" hidden="1">"c1613"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" hidden="1">"c8559"</definedName>
    <definedName name="IQ_PRIVATE_CONST_TOTAL_APR_UNUSED" hidden="1">"c7679"</definedName>
    <definedName name="IQ_PRIVATE_CONST_TOTAL_FC_UNUSED" hidden="1">"c7899"</definedName>
    <definedName name="IQ_PRIVATE_CONST_TOTAL_POP_FC_UNUSED" hidden="1">"c8119"</definedName>
    <definedName name="IQ_PRIVATE_CONST_TOTAL_POP_UNUSED" hidden="1">"c7239"</definedName>
    <definedName name="IQ_PRIVATE_CONST_TOTAL_UNUSED" hidden="1">"c7019"</definedName>
    <definedName name="IQ_PRIVATE_CONST_TOTAL_YOY_FC_UNUSED" hidden="1">"c8339"</definedName>
    <definedName name="IQ_PRIVATE_CONST_TOTAL_YOY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" hidden="1">"c8535"</definedName>
    <definedName name="IQ_PRIVATE_RES_CONST_REAL_APR_UNUSED" hidden="1">"c7655"</definedName>
    <definedName name="IQ_PRIVATE_RES_CONST_REAL_FC_UNUSED" hidden="1">"c7875"</definedName>
    <definedName name="IQ_PRIVATE_RES_CONST_REAL_POP_FC_UNUSED" hidden="1">"c8095"</definedName>
    <definedName name="IQ_PRIVATE_RES_CONST_REAL_POP_UNUSED" hidden="1">"c7215"</definedName>
    <definedName name="IQ_PRIVATE_RES_CONST_REAL_UNUSED" hidden="1">"c6995"</definedName>
    <definedName name="IQ_PRIVATE_RES_CONST_REAL_YOY_FC_UNUSED" hidden="1">"c8315"</definedName>
    <definedName name="IQ_PRIVATE_RES_CONST_REAL_YOY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BABLE_RESERVES_TO_TOTAL_RESERVES_COAL" hidden="1">"c15953"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ID" hidden="1">"c13755"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FIT_AFTER_COST_CAPITAL_NEW_BUSINESS" hidden="1">"c9969"</definedName>
    <definedName name="IQ_PROFIT_BEFORE_COST_CAPITAL_NEW_BUSINESS" hidden="1">"c9967"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EN_RESERVES_TO_TOTAL_RESERVES_COAL" hidden="1">"c15952"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L_FFIEC" hidden="1">"c13019"</definedName>
    <definedName name="IQ_PROVISION_LOAN_LOSS_AVG_ASSETS_FFIEC" hidden="1">"c18879"</definedName>
    <definedName name="IQ_PROVISION_LOSSES_AVG_ASSETS_FFIEC" hidden="1">"c13362"</definedName>
    <definedName name="IQ_PROVISION_LOSSES_AVG_LOANS_FFIEC" hidden="1">"c13470"</definedName>
    <definedName name="IQ_PROVISION_LOSSES_NET_LOSSES_FFIEC" hidden="1">"c13471"</definedName>
    <definedName name="IQ_PSGR_REV" hidden="1">"c19125"</definedName>
    <definedName name="IQ_PTBV" hidden="1">"c1084"</definedName>
    <definedName name="IQ_PTBV_AVG" hidden="1">"c1085"</definedName>
    <definedName name="IQ_PURCHASE_TREASURY_FFIEC" hidden="1">"c12966"</definedName>
    <definedName name="IQ_PURCHASED_COAL" hidden="1">"c15934"</definedName>
    <definedName name="IQ_PURCHASED_CREDIT_RELS_SERVICING_ASSETS_FFIEC" hidden="1">"c12839"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" hidden="1">"c8491"</definedName>
    <definedName name="IQ_PURCHASES_EQUIP_NONRES_SAAR_APR_UNUSED" hidden="1">"c7611"</definedName>
    <definedName name="IQ_PURCHASES_EQUIP_NONRES_SAAR_FC_UNUSED" hidden="1">"c7831"</definedName>
    <definedName name="IQ_PURCHASES_EQUIP_NONRES_SAAR_POP_FC_UNUSED" hidden="1">"c8051"</definedName>
    <definedName name="IQ_PURCHASES_EQUIP_NONRES_SAAR_POP_UNUSED" hidden="1">"c7171"</definedName>
    <definedName name="IQ_PURCHASES_EQUIP_NONRES_SAAR_UNUSED" hidden="1">"c6951"</definedName>
    <definedName name="IQ_PURCHASES_EQUIP_NONRES_SAAR_YOY_FC_UNUSED" hidden="1">"c8271"</definedName>
    <definedName name="IQ_PURCHASES_EQUIP_NONRES_SAAR_YOY_UNUSED" hidden="1">"c7391"</definedName>
    <definedName name="IQ_PURCHASING_SECURITIES_LL_REC_FFIEC" hidden="1">"c12893"</definedName>
    <definedName name="IQ_PUT_DATE_SCHEDULE" hidden="1">"c2483"</definedName>
    <definedName name="IQ_PUT_NOTIFICATION" hidden="1">"c2485"</definedName>
    <definedName name="IQ_PUT_PRICE_SCHEDULE" hidden="1">"c2484"</definedName>
    <definedName name="IQ_PV_PREMIUMS_NEW_BUSINESS" hidden="1">"c9973"</definedName>
    <definedName name="IQ_QTD" hidden="1">750000</definedName>
    <definedName name="IQ_QUALIFYING_MINORITY_INT_T1_FFIEC" hidden="1">"c13135"</definedName>
    <definedName name="IQ_QUALIFYING_SUB_DEBT_REDEEM_PREF_T2_FFIEC" hidden="1">"c13144"</definedName>
    <definedName name="IQ_QUALIFYING_TRUST_PREFERRED_T1_FFIEC" hidden="1">"c13136"</definedName>
    <definedName name="IQ_QUICK_COMP" hidden="1">"c13750"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TE_COUNTRY" hidden="1">"c19247"</definedName>
    <definedName name="IQ_RATE_LEVEL" hidden="1">"c19251"</definedName>
    <definedName name="IQ_RATE_NAME" hidden="1">"c19249"</definedName>
    <definedName name="IQ_RATE_TERM" hidden="1">"c19248"</definedName>
    <definedName name="IQ_RATE_TYPE" hidden="1">"c19246"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1_4_RISK_BASED_FFIEC" hidden="1">"c13418"</definedName>
    <definedName name="IQ_RE_ACQ_SATISFACTION_DEBTS_FFIEC" hidden="1">"c12832"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_AMORT" hidden="1">"c8750"</definedName>
    <definedName name="IQ_RE_DEPRECIATION" hidden="1">"c16045"</definedName>
    <definedName name="IQ_RE_FARMLAND_GROSS_LOANS_FFIEC" hidden="1">"c13408"</definedName>
    <definedName name="IQ_RE_FARMLAND_RISK_BASED_FFIEC" hidden="1">"c13429"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IGN_FFIEC" hidden="1">"c13479"</definedName>
    <definedName name="IQ_RE_GAIN_LOSS_SALE_ASSETS" hidden="1">"c8751"</definedName>
    <definedName name="IQ_RE_LOANS_1_4_GROSS_LOANS_FFIEC" hidden="1">"c13397"</definedName>
    <definedName name="IQ_RE_LOANS_DOM_QUARTERLY_AVG_FFIEC" hidden="1">"c15476"</definedName>
    <definedName name="IQ_RE_LOANS_GROSS_LOANS_FFIEC" hidden="1">"c13396"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_RENTAL_EXPENSE" hidden="1">"c16036"</definedName>
    <definedName name="IQ_RE_RISK_BASED_FFIEC" hidden="1">"c13417"</definedName>
    <definedName name="IQ_REAL_ESTATE" hidden="1">"c1093"</definedName>
    <definedName name="IQ_REAL_ESTATE_ASSETS" hidden="1">"c1094"</definedName>
    <definedName name="IQ_REALIZED_GAINS_AVAIL_SALE_SEC_FFIEC" hidden="1">"c13022"</definedName>
    <definedName name="IQ_REALIZED_GAINS_HELD_MATURITY_SEC_FFIEC" hidden="1">"c13021"</definedName>
    <definedName name="IQ_REALIZED_GAINS_SEC_TOT_FFIEC" hidden="1">"c13517"</definedName>
    <definedName name="IQ_RECENT_FUNDS" hidden="1">"c18908"</definedName>
    <definedName name="IQ_RECENT_FUNDS_ID" hidden="1">"c18909"</definedName>
    <definedName name="IQ_RECOVERIES_AVG_LOANS_FFIEC" hidden="1">"c13476"</definedName>
    <definedName name="IQ_RECURRING_PROFIT_ACT_OR_EST" hidden="1">"c4507"</definedName>
    <definedName name="IQ_RECURRING_PROFIT_ACT_OR_EST_CIQ_COL" hidden="1">"c11692"</definedName>
    <definedName name="IQ_RECURRING_PROFIT_GUIDANCE" hidden="1">"c4500"</definedName>
    <definedName name="IQ_RECURRING_PROFIT_GUIDANCE_CIQ" hidden="1">"c5038"</definedName>
    <definedName name="IQ_RECURRING_PROFIT_GUIDANCE_CIQ_COL" hidden="1">"c11685"</definedName>
    <definedName name="IQ_RECURRING_PROFIT_HIGH_GUIDANCE" hidden="1">"c4179"</definedName>
    <definedName name="IQ_RECURRING_PROFIT_HIGH_GUIDANCE_CIQ" hidden="1">"c4591"</definedName>
    <definedName name="IQ_RECURRING_PROFIT_HIGH_GUIDANCE_CIQ_COL" hidden="1">"c11240"</definedName>
    <definedName name="IQ_RECURRING_PROFIT_LOW_GUIDANCE" hidden="1">"c4219"</definedName>
    <definedName name="IQ_RECURRING_PROFIT_LOW_GUIDANCE_CIQ" hidden="1">"c4631"</definedName>
    <definedName name="IQ_RECURRING_PROFIT_LOW_GUIDANCE_CIQ_COL" hidden="1">"c11280"</definedName>
    <definedName name="IQ_RECURRING_PROFIT_SHARE_ACT_OR_EST" hidden="1">"c4508"</definedName>
    <definedName name="IQ_RECURRING_PROFIT_SHARE_ACT_OR_EST_CIQ_COL" hidden="1">"c11693"</definedName>
    <definedName name="IQ_RECURRING_PROFIT_SHARE_GUIDANCE" hidden="1">"c4509"</definedName>
    <definedName name="IQ_RECURRING_PROFIT_SHARE_GUIDANCE_CIQ" hidden="1">"c5047"</definedName>
    <definedName name="IQ_RECURRING_PROFIT_SHARE_GUIDANCE_CIQ_COL" hidden="1">"c11694"</definedName>
    <definedName name="IQ_RECURRING_PROFIT_SHARE_HIGH_GUIDANCE" hidden="1">"c4200"</definedName>
    <definedName name="IQ_RECURRING_PROFIT_SHARE_HIGH_GUIDANCE_CIQ" hidden="1">"c4612"</definedName>
    <definedName name="IQ_RECURRING_PROFIT_SHARE_HIGH_GUIDANCE_CIQ_COL" hidden="1">"c11261"</definedName>
    <definedName name="IQ_RECURRING_PROFIT_SHARE_LOW_GUIDANCE" hidden="1">"c4240"</definedName>
    <definedName name="IQ_RECURRING_PROFIT_SHARE_LOW_GUIDANCE_CIQ" hidden="1">"c4652"</definedName>
    <definedName name="IQ_RECURRING_PROFIT_SHARE_LOW_GUIDANCE_CIQ_COL" hidden="1">"c11301"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INSURANCE_RECOVERABLE_ASSETS_LH_FFIEC" hidden="1">"c13104"</definedName>
    <definedName name="IQ_REINSURANCE_RECOVERABLE_ASSETS_PC_FFIEC" hidden="1">"c13098"</definedName>
    <definedName name="IQ_RENT_AVG_PROP" hidden="1">"c16056"</definedName>
    <definedName name="IQ_RENT_OTHER_INC_FROM_OREO_FFIEC" hidden="1">"c13043"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_SAFE_DEPOSIT_FFIEC" hidden="1">"c13044"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PRICEABLE_EARNING_ASSETS_INT_SENSITIVITY_FFIEC" hidden="1">"c13093"</definedName>
    <definedName name="IQ_REPRICEABLE_INT_DEPOSITS_INT_SENSITIVITY_FFIEC" hidden="1">"c13094"</definedName>
    <definedName name="IQ_REPURCHASED_REBOOKED_GNMA_DUE_30_89_FFIEC" hidden="1">"c13283"</definedName>
    <definedName name="IQ_REPURCHASED_REBOOKED_GNMA_DUE_90_FFIEC" hidden="1">"c13309"</definedName>
    <definedName name="IQ_REPURCHASED_REBOOKED_GNMA_NON_ACCRUAL_FFIEC" hidden="1">"c13334"</definedName>
    <definedName name="IQ_RES_CONST_REAL_APR_FC_UNUSED" hidden="1">"c8536"</definedName>
    <definedName name="IQ_RES_CONST_REAL_APR_UNUSED" hidden="1">"c7656"</definedName>
    <definedName name="IQ_RES_CONST_REAL_FC_UNUSED" hidden="1">"c7876"</definedName>
    <definedName name="IQ_RES_CONST_REAL_POP_FC_UNUSED" hidden="1">"c8096"</definedName>
    <definedName name="IQ_RES_CONST_REAL_POP_UNUSED" hidden="1">"c7216"</definedName>
    <definedName name="IQ_RES_CONST_REAL_SAAR_APR_FC_UNUSED" hidden="1">"c8537"</definedName>
    <definedName name="IQ_RES_CONST_REAL_SAAR_APR_UNUSED" hidden="1">"c7657"</definedName>
    <definedName name="IQ_RES_CONST_REAL_SAAR_FC_UNUSED" hidden="1">"c7877"</definedName>
    <definedName name="IQ_RES_CONST_REAL_SAAR_POP_FC_UNUSED" hidden="1">"c8097"</definedName>
    <definedName name="IQ_RES_CONST_REAL_SAAR_POP_UNUSED" hidden="1">"c7217"</definedName>
    <definedName name="IQ_RES_CONST_REAL_SAAR_UNUSED" hidden="1">"c6997"</definedName>
    <definedName name="IQ_RES_CONST_REAL_SAAR_YOY_FC_UNUSED" hidden="1">"c8317"</definedName>
    <definedName name="IQ_RES_CONST_REAL_SAAR_YOY_UNUSED" hidden="1">"c7437"</definedName>
    <definedName name="IQ_RES_CONST_REAL_UNUSED" hidden="1">"c6996"</definedName>
    <definedName name="IQ_RES_CONST_REAL_YOY_FC_UNUSED" hidden="1">"c8316"</definedName>
    <definedName name="IQ_RES_CONST_REAL_YOY_UNUSED" hidden="1">"c7436"</definedName>
    <definedName name="IQ_RES_CONST_SAAR_APR_FC_UNUSED" hidden="1">"c8540"</definedName>
    <definedName name="IQ_RES_CONST_SAAR_APR_UNUSED" hidden="1">"c7660"</definedName>
    <definedName name="IQ_RES_CONST_SAAR_FC_UNUSED" hidden="1">"c7880"</definedName>
    <definedName name="IQ_RES_CONST_SAAR_POP_FC_UNUSED" hidden="1">"c8100"</definedName>
    <definedName name="IQ_RES_CONST_SAAR_POP_UNUSED" hidden="1">"c7220"</definedName>
    <definedName name="IQ_RES_CONST_SAAR_UNUSED" hidden="1">"c7000"</definedName>
    <definedName name="IQ_RES_CONST_SAAR_YOY_FC_UNUSED" hidden="1">"c8320"</definedName>
    <definedName name="IQ_RES_CONST_SAAR_YOY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FFIEC" hidden="1">"c12958"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SUPPLE" hidden="1">"c13809"</definedName>
    <definedName name="IQ_RESTRUCTURE_UTI" hidden="1">"c1111"</definedName>
    <definedName name="IQ_RESTRUCTURED_LOANS" hidden="1">"c1112"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NLINE_REVENUES" hidden="1">"c9904"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REVENUES" hidden="1">"c9902"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"c16128"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"c16129"</definedName>
    <definedName name="IQ_RETAIL_SALES_POP" hidden="1">"c7223"</definedName>
    <definedName name="IQ_RETAIL_SALES_POP_FC" hidden="1">"c8103"</definedName>
    <definedName name="IQ_RETAIL_SALES_RETAIL" hidden="1">"c16127"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EQUITY_FFIEC" hidden="1">"c13348"</definedName>
    <definedName name="IQ_RETAINED_EARNINGS_FFIEC" hidden="1">"c12878"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ASSETS_GUIDANCE_CIQ" hidden="1">"c5055"</definedName>
    <definedName name="IQ_RETURN_ASSETS_GUIDANCE_CIQ_COL" hidden="1">"c11702"</definedName>
    <definedName name="IQ_RETURN_ASSETS_HIGH_GUIDANCE_CIQ" hidden="1">"c4595"</definedName>
    <definedName name="IQ_RETURN_ASSETS_HIGH_GUIDANCE_CIQ_COL" hidden="1">"c11244"</definedName>
    <definedName name="IQ_RETURN_ASSETS_LOW_GUIDANCE_CIQ" hidden="1">"c4635"</definedName>
    <definedName name="IQ_RETURN_ASSETS_LOW_GUIDANCE_CIQ_COL" hidden="1">"c11284"</definedName>
    <definedName name="IQ_RETURN_CAPITAL" hidden="1">"c1117"</definedName>
    <definedName name="IQ_RETURN_COMMON_EQUITY" hidden="1">"c13838"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EQUITY_GUIDANCE_CIQ" hidden="1">"c5056"</definedName>
    <definedName name="IQ_RETURN_EQUITY_GUIDANCE_CIQ_COL" hidden="1">"c11703"</definedName>
    <definedName name="IQ_RETURN_EQUITY_HIGH_GUIDANCE_CIQ" hidden="1">"c4594"</definedName>
    <definedName name="IQ_RETURN_EQUITY_HIGH_GUIDANCE_CIQ_COL" hidden="1">"c11243"</definedName>
    <definedName name="IQ_RETURN_EQUITY_LOW_GUIDANCE_CIQ" hidden="1">"c4634"</definedName>
    <definedName name="IQ_RETURN_EQUITY_LOW_GUIDANCE_CIQ_COL" hidden="1">"c11283"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BEFORE_LOAN_LOSS_FOREIGN_FFIEC" hidden="1">"c15381"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DERIVATIVE_DOM_FFIEC" hidden="1">"c12828"</definedName>
    <definedName name="IQ_REVALUATION_GAINS_DERIVATIVE_FOREIGN_FFIEC" hidden="1">"c12829"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CIQ_COL" hidden="1">"c11706"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BEFORE_LL_FFIEC" hidden="1">"c13018"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REUT" hidden="1">"c3634"</definedName>
    <definedName name="IQ_REVENUE_GUIDANCE_CIQ" hidden="1">"c5057"</definedName>
    <definedName name="IQ_REVENUE_GUIDANCE_CIQ_COL" hidden="1">"c11704"</definedName>
    <definedName name="IQ_REVENUE_HIGH_EST" hidden="1">"c1127"</definedName>
    <definedName name="IQ_REVENUE_HIGH_EST_REUT" hidden="1">"c3636"</definedName>
    <definedName name="IQ_REVENUE_HIGH_GUIDANCE_CIQ" hidden="1">"c4581"</definedName>
    <definedName name="IQ_REVENUE_HIGH_GUIDANCE_CIQ_COL" hidden="1">"c11230"</definedName>
    <definedName name="IQ_REVENUE_LOW_EST" hidden="1">"c1128"</definedName>
    <definedName name="IQ_REVENUE_LOW_EST_REUT" hidden="1">"c3637"</definedName>
    <definedName name="IQ_REVENUE_LOW_GUIDANCE_CIQ" hidden="1">"c4621"</definedName>
    <definedName name="IQ_REVENUE_LOW_GUIDANCE_CIQ_COL" hidden="1">"c11270"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_" hidden="1">39426.8220833333</definedName>
    <definedName name="IQ_REVOLV_OPEN_SECURED_1_4_LL_REC_DOM_FFIEC" hidden="1">"c12902"</definedName>
    <definedName name="IQ_REVOLVING_HOME_EQUITY_LINES_UNUSED_FFIEC" hidden="1">"c13241"</definedName>
    <definedName name="IQ_REVOLVING_LOANS_GROSS_LOANS_FFIEC" hidden="1">"c13398"</definedName>
    <definedName name="IQ_REVOLVING_LOANS_RISK_BASED_FFIEC" hidden="1">"c13419"</definedName>
    <definedName name="IQ_REVOLVING_LOANS_SEC_1_4_DOM_CHARGE_OFFS_FFIEC" hidden="1">"c13168"</definedName>
    <definedName name="IQ_REVOLVING_LOANS_SEC_1_4_DOM_RECOV_FFIEC" hidden="1">"c13190"</definedName>
    <definedName name="IQ_REVOLVING_OPEN_END_1_4_TRADING_DOM_FFIEC" hidden="1">"c12927"</definedName>
    <definedName name="IQ_REVOLVING_SECURED_1_4_DUE_30_89_FFIEC" hidden="1">"c13260"</definedName>
    <definedName name="IQ_REVOLVING_SECURED_1_4_DUE_90_FFIEC" hidden="1">"c13288"</definedName>
    <definedName name="IQ_REVOLVING_SECURED_1_4_NON_ACCRUAL_FFIEC" hidden="1">"c13314"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RSI" hidden="1">"c12704"</definedName>
    <definedName name="IQ_RSI_ADJ" hidden="1">"c12705"</definedName>
    <definedName name="IQ_RSSD_ID_FFIEC" hidden="1">"c20506"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IES_EMPLOYEE_BENEFITS_FFIEC" hidden="1">"c13023"</definedName>
    <definedName name="IQ_SALARIES_OTHER_BENEFITS" hidden="1">"c16176"</definedName>
    <definedName name="IQ_SALARY" hidden="1">"c1130"</definedName>
    <definedName name="IQ_SALE_COMMON_GROSS_FFIEC" hidden="1">"c12963"</definedName>
    <definedName name="IQ_SALE_CONVERSION_ACQUISITION_NET_COMMON_FFIEC" hidden="1">"c15351"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EF_FFIEC" hidden="1">"c12961"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_TREASURY_FFIEC" hidden="1">"c12965"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AVINGS_DEPOSITS_NON_TRANS_ACCTS_FFIEC" hidden="1">"c15329"</definedName>
    <definedName name="IQ_SAVINGS_DEPOSITS_QUARTERLY_AVG_FFIEC" hidden="1">"c15485"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BC_EXPENSE_FFIEC" hidden="1">"c13077"</definedName>
    <definedName name="IQ_SCALABLE_INFRASTRUCTURE_CABLE_INVEST" hidden="1">"c15802"</definedName>
    <definedName name="IQ_SEC_1_4_CONSTRUCTION_DOM_CHARGE_OFFS_FFIEC" hidden="1">"c13165"</definedName>
    <definedName name="IQ_SEC_1_4_CONSTRUCTION_DOM_RECOV_FFIEC" hidden="1">"c13187"</definedName>
    <definedName name="IQ_SEC_BORROWED_OFF_BS_FFIEC" hidden="1">"c13127"</definedName>
    <definedName name="IQ_SEC_FARMLAND_DOM_CHARGE_OFFS_FFIEC" hidden="1">"c13167"</definedName>
    <definedName name="IQ_SEC_FARMLAND_DOM_RECOV_FFIEC" hidden="1">"c13189"</definedName>
    <definedName name="IQ_SEC_FUNDS_PURCHASED_ASSETS_TOT_FFIEC" hidden="1">"c13447"</definedName>
    <definedName name="IQ_SEC_ISSUED_US_AFS_AMORT_COST_FFIEC" hidden="1">"c20492"</definedName>
    <definedName name="IQ_SEC_ISSUED_US_AFS_FAIR_VAL_FFIEC" hidden="1">"c20457"</definedName>
    <definedName name="IQ_SEC_ISSUED_US_AVAIL_SALE_FFIEC" hidden="1">"c12795"</definedName>
    <definedName name="IQ_SEC_ISSUED_US_TRADING_DOM_FFIEC" hidden="1">"c12920"</definedName>
    <definedName name="IQ_SEC_ISSUED_US_TRADING_FFIEC" hidden="1">"c12815"</definedName>
    <definedName name="IQ_SEC_MULTIFAM_DOM_CHARGE_OFFS_FFIEC" hidden="1">"c13171"</definedName>
    <definedName name="IQ_SEC_MULTIFAM_DOM_DUE_30_89_FFIEC" hidden="1">"c13263"</definedName>
    <definedName name="IQ_SEC_MULTIFAM_DOM_DUE_90_FFIEC" hidden="1">"c13291"</definedName>
    <definedName name="IQ_SEC_MULTIFAM_DOM_NON_ACCRUAL_FFIEC" hidden="1">"c13317"</definedName>
    <definedName name="IQ_SEC_MULTIFAM_DOM_RECOV_FFIEC" hidden="1">"c13193"</definedName>
    <definedName name="IQ_SEC_NONFARM_NONRES_CHARGE_OFFS_FFIEC" hidden="1">"c13629"</definedName>
    <definedName name="IQ_SEC_NONFARM_NONRES_DOM_OFFICES_DUE_30_89_FFIEC" hidden="1">"c13264"</definedName>
    <definedName name="IQ_SEC_NONFARM_NONRES_DOM_OFFICES_DUE_90_FFIEC" hidden="1">"c13292"</definedName>
    <definedName name="IQ_SEC_NONFARM_NONRES_DOM_OFFICES_NON_ACCRUAL_FFIEC" hidden="1">"c13318"</definedName>
    <definedName name="IQ_SEC_NONFARM_NONRES_RECOV_FFIEC" hidden="1">"c13633"</definedName>
    <definedName name="IQ_SEC_OTHER_CONSTRUCTION_DOM_CHARGE_OFFS_FFIEC" hidden="1">"c13166"</definedName>
    <definedName name="IQ_SEC_OTHER_CONSTRUCTION_DOM_RECOV_FFIEC" hidden="1">"c13188"</definedName>
    <definedName name="IQ_SEC_OTHER_NONFARM_NONRES_CHARGE_OFFS_FFIEC" hidden="1">"c13173"</definedName>
    <definedName name="IQ_SEC_OTHER_NONFARM_NONRES_DUE_30_89_FFIEC" hidden="1">"c13266"</definedName>
    <definedName name="IQ_SEC_OTHER_NONFARM_NONRES_DUE_90_FFIEC" hidden="1">"c13637"</definedName>
    <definedName name="IQ_SEC_OTHER_NONFARM_NONRES_NON_ACCRUAL_FFIEC" hidden="1">"c15462"</definedName>
    <definedName name="IQ_SEC_OTHER_NONFARM_NONRES_RECOV_FFIEC" hidden="1">"c13195"</definedName>
    <definedName name="IQ_SEC_OWNER_NONFARM_NONRES_CHARGE_OFFS_FFIEC" hidden="1">"c13172"</definedName>
    <definedName name="IQ_SEC_OWNER_NONFARM_NONRES_DUE_30_89_FFIEC" hidden="1">"c13265"</definedName>
    <definedName name="IQ_SEC_OWNER_NONFARM_NONRES_DUE_90_FFIEC" hidden="1">"c13636"</definedName>
    <definedName name="IQ_SEC_OWNER_NONFARM_NONRES_NON_ACCRUAL_FFIEC" hidden="1">"c15461"</definedName>
    <definedName name="IQ_SEC_OWNER_NONFARM_NONRES_RECOV_FFIEC" hidden="1">"c13194"</definedName>
    <definedName name="IQ_SEC_PURCHASED_RESELL" hidden="1">"c5513"</definedName>
    <definedName name="IQ_SEC_PURCHASED_RESELL_FFIEC" hidden="1">"c12807"</definedName>
    <definedName name="IQ_SEC_RE_FOREIGN_DUE_30_89_FFIEC" hidden="1">"c13267"</definedName>
    <definedName name="IQ_SEC_RE_FOREIGN_DUE_90_FFIEC" hidden="1">"c13293"</definedName>
    <definedName name="IQ_SEC_RE_FOREIGN_NON_ACCRUAL_FFIEC" hidden="1">"c13319"</definedName>
    <definedName name="IQ_SEC_SOLD_REPURCHASE_FFIEC" hidden="1">"c12857"</definedName>
    <definedName name="IQ_SECUR_RECEIV" hidden="1">"c1151"</definedName>
    <definedName name="IQ_SECURED_DEBT" hidden="1">"c2546"</definedName>
    <definedName name="IQ_SECURED_DEBT_PCT" hidden="1">"c2547"</definedName>
    <definedName name="IQ_SECURED_FARMLAND_DOM_DUE_30_89_FFIEC" hidden="1">"c13259"</definedName>
    <definedName name="IQ_SECURED_FARMLAND_DOM_DUE_90_FFIEC" hidden="1">"c13287"</definedName>
    <definedName name="IQ_SECURED_FARMLAND_DOM_NON_ACCRUAL_FFIEC" hidden="1">"c13313"</definedName>
    <definedName name="IQ_SECURED_FARMLAND_LL_REC_DOM_FFIEC" hidden="1">"c12901"</definedName>
    <definedName name="IQ_SECURED_MULTI_RES_LL_REC_DOM_FFIEC" hidden="1">"c12905"</definedName>
    <definedName name="IQ_SECURITIES_AFS_AMORT_COST_FFIEC" hidden="1">"c20488"</definedName>
    <definedName name="IQ_SECURITIES_AFS_FAIR_VAL_FFIEC" hidden="1">"c20453"</definedName>
    <definedName name="IQ_SECURITIES_HELD_MATURITY_FFIEC" hidden="1">"c12777"</definedName>
    <definedName name="IQ_SECURITIES_HTM_AMORT_COST_FFIEC" hidden="1">"c20436"</definedName>
    <definedName name="IQ_SECURITIES_HTM_FAIR_VAL_FFIEC" hidden="1">"c20471"</definedName>
    <definedName name="IQ_SECURITIES_ISSUED_US_FFIEC" hidden="1">"c12781"</definedName>
    <definedName name="IQ_SECURITIES_ISSUED_US_HTM_AMORT_COST_FFIEC" hidden="1">"c20440"</definedName>
    <definedName name="IQ_SECURITIES_ISSUED_US_HTM_FAIR_VAL_FFIEC" hidden="1">"c20475"</definedName>
    <definedName name="IQ_SECURITIES_LENT_FFIEC" hidden="1">"c13255"</definedName>
    <definedName name="IQ_SECURITIES_QUARTERLY_AVG_FFIEC" hidden="1">"c13079"</definedName>
    <definedName name="IQ_SECURITIES_STATE_POLI_SUBD_QUARTERLY_AVG_FFIEC" hidden="1">"c15470"</definedName>
    <definedName name="IQ_SECURITIES_UNDERWRITING_UNUSED_FFIEC" hidden="1">"c13247"</definedName>
    <definedName name="IQ_SECURITIZATION_INC_OPERATING_INC_FFIEC" hidden="1">"c13390"</definedName>
    <definedName name="IQ_SECURITIZATION_INCOME_FFIEC" hidden="1">"c13012"</definedName>
    <definedName name="IQ_SECURITY_ACTIVE_STATUS" hidden="1">"c15160"</definedName>
    <definedName name="IQ_SECURITY_BORROW" hidden="1">"c1152"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DOL" hidden="1">"c12042"</definedName>
    <definedName name="IQ_SELECTED_FOREIGN_ASSETS_FFIEC" hidden="1">"c13485"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_ACCOUNT_ASSETS_LH_FFIEC" hidden="1">"c13105"</definedName>
    <definedName name="IQ_SEPARATE_ACCOUNT_LIAB_LH_FFIEC" hidden="1">"c13108"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DEPOSIT_ACCOUNTS_DOM_FFIEC" hidden="1">"c13003"</definedName>
    <definedName name="IQ_SERVICE_CHARGES_OPERATING_INC_FFIEC" hidden="1">"c13384"</definedName>
    <definedName name="IQ_SERVICE_FEE" hidden="1">"c8951"</definedName>
    <definedName name="IQ_SERVICING_FEES_FFIEC" hidden="1">"c13011"</definedName>
    <definedName name="IQ_SERVICING_FEES_OPERATING_INC_FFIEC" hidden="1">"c13389"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_PER_DR" hidden="1">"c204"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OVER_INST_OWNERSHIP" hidden="1">"c17422"</definedName>
    <definedName name="IQ_SHORT_INTEREST_PERCENT" hidden="1">"c1576"</definedName>
    <definedName name="IQ_SHORT_POSITIONS_FFIEC" hidden="1">"c12859"</definedName>
    <definedName name="IQ_SHORT_SCORE_DX" hidden="1">"c17439"</definedName>
    <definedName name="IQ_SHORT_TERM_INVEST" hidden="1">"c1425"</definedName>
    <definedName name="IQ_SMALL_INT_BEAR_CD" hidden="1">"c1166"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LD_COAL" hidden="1">"c15936"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NSR_ACTION_LT" hidden="1">"c13616"</definedName>
    <definedName name="IQ_SP_ISSUE_NSR_ACTION_ST" hidden="1">"c13622"</definedName>
    <definedName name="IQ_SP_ISSUE_NSR_DATE_LT" hidden="1">"c13615"</definedName>
    <definedName name="IQ_SP_ISSUE_NSR_DATE_ST" hidden="1">"c13621"</definedName>
    <definedName name="IQ_SP_ISSUE_NSR_LT" hidden="1">"c13614"</definedName>
    <definedName name="IQ_SP_ISSUE_NSR_ST" hidden="1">"c13620"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NSR_ACTION_LT" hidden="1">"c13613"</definedName>
    <definedName name="IQ_SP_NSR_ACTION_ST" hidden="1">"c13619"</definedName>
    <definedName name="IQ_SP_NSR_DATE_LT" hidden="1">"c13612"</definedName>
    <definedName name="IQ_SP_NSR_DATE_ST" hidden="1">"c13618"</definedName>
    <definedName name="IQ_SP_NSR_LT" hidden="1">"c13611"</definedName>
    <definedName name="IQ_SP_NSR_ST" hidden="1">"c13617"</definedName>
    <definedName name="IQ_SP_OUTLOOK_WATCH" hidden="1">"c2639"</definedName>
    <definedName name="IQ_SP_OUTLOOK_WATCH_DATE" hidden="1">"c2638"</definedName>
    <definedName name="IQ_SP_QUALITY_RANKING_DESCRIPTION" hidden="1">"c17410"</definedName>
    <definedName name="IQ_SP_QUALITY_RANKING_VALUE" hidden="1">"c17409"</definedName>
    <definedName name="IQ_SP_REASON" hidden="1">"c2174"</definedName>
    <definedName name="IQ_SP_STARS_DESCRIPTION" hidden="1">"c17408"</definedName>
    <definedName name="IQ_SP_STARS_VALUE" hidden="1">"c17407"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ASSETS_TOT_FFIEC" hidden="1">"c13438"</definedName>
    <definedName name="IQ_ST_INVEST_ST_NONCORE_FUNDING_FFIEC" hidden="1">"c13338"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POLI_SUBD_US_NON_TRANS_ACCTS_FFIEC" hidden="1">"c15324"</definedName>
    <definedName name="IQ_STATES_POLI_SUBD_US_TRANS_ACCTS_FFIEC" hidden="1">"c15316"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XPLORE_DRILL" hidden="1">"c13851"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ATEGY_NOTE" hidden="1">"c6791"</definedName>
    <definedName name="IQ_STRIKE_PRICE_ISSUED" hidden="1">"c1645"</definedName>
    <definedName name="IQ_STRIKE_PRICE_OS" hidden="1">"c1646"</definedName>
    <definedName name="IQ_STRIPS_RECEIVABLE_MORTGAGE_LOANS_FFIEC" hidden="1">"c12844"</definedName>
    <definedName name="IQ_STRIPS_RECEIVABLE_OTHER_FFIEC" hidden="1">"c12845"</definedName>
    <definedName name="IQ_STRUCT_FIN_CLASS" hidden="1">"c8950"</definedName>
    <definedName name="IQ_STRUCT_FIN_SERIES" hidden="1">"c8956"</definedName>
    <definedName name="IQ_STRUCTURED_NOTES_INVEST_SECURITIES_FFIEC" hidden="1">"c13468"</definedName>
    <definedName name="IQ_STRUCTURING_NOTES_TIER_1_FFIEC" hidden="1">"c13344"</definedName>
    <definedName name="IQ_STW" hidden="1">"c2166"</definedName>
    <definedName name="IQ_STYLE_GROWTH_VALUE" hidden="1">"c19203"</definedName>
    <definedName name="IQ_STYLE_HIGH_YIELD" hidden="1">"c19204"</definedName>
    <definedName name="IQ_STYLE_MARKET_CAP" hidden="1">"c19202"</definedName>
    <definedName name="IQ_STYLE_REPORTED" hidden="1">"c19205"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FFIEC" hidden="1">"c12867"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_NOTES_PAYABLE_UNCONSOLIDATED_TRUSTS_FFIEC" hidden="1">"c12868"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LIES_FFIEC" hidden="1">"c13050"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FIEC" hidden="1">"c12877"</definedName>
    <definedName name="IQ_SVA" hidden="1">"c1214"</definedName>
    <definedName name="IQ_SYMBOL_RT" hidden="1">"SYMBOL"</definedName>
    <definedName name="IQ_SYNTH_STRUCTURED_PRODUCTS_AFS_AMORT_COST_FFIEC" hidden="1">"c20501"</definedName>
    <definedName name="IQ_SYNTH_STRUCTURED_PRODUCTS_AFS_FAIR_VAL_FFIEC" hidden="1">"c20466"</definedName>
    <definedName name="IQ_SYNTH_STRUCTURED_PRODUCTS_HTM_AMORT_COST_FFIEC" hidden="1">"c20449"</definedName>
    <definedName name="IQ_SYNTH_STRUCTURED_PRODUCTS_HTM_FAIR_VAL_FFIEC" hidden="1">"c20484"</definedName>
    <definedName name="IQ_SYNTHETIC_STRUCTURED_PRODUCTS_AVAIL_SALE_FFIEC" hidden="1">"c15264"</definedName>
    <definedName name="IQ_SYNTHETIC_STRUCTURED_PRODUCTS_FFIEC" hidden="1">"c15261"</definedName>
    <definedName name="IQ_TANGIBLE_ASSETS_FFIEC" hidden="1">"c13916"</definedName>
    <definedName name="IQ_TANGIBLE_COMMON_EQUITY_FFIEC" hidden="1">"c13914"</definedName>
    <definedName name="IQ_TANGIBLE_EQUITY_ASSETS_FFIEC" hidden="1">"c13346"</definedName>
    <definedName name="IQ_TANGIBLE_EQUITY_FFIEC" hidden="1">"c13915"</definedName>
    <definedName name="IQ_TANGIBLE_TIER_1_LEVERAGE_FFIEC" hidden="1">"c13345"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EQUIVALENT_ADJUSTMENTS_FFIEC" hidden="1">"c13854"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AXES_ADJ_NOI_FFIEC" hidden="1">"c13395"</definedName>
    <definedName name="IQ_TAXES_NOI_FFIEC" hidden="1">"c13394"</definedName>
    <definedName name="IQ_TAXES_TE_AVG_ASSETS_FFIEC" hidden="1">"c13366"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EXCL_FFIEC" hidden="1">"c13516"</definedName>
    <definedName name="IQ_TBV_SHARE" hidden="1">"c1217"</definedName>
    <definedName name="IQ_TBV_SHARE_REPORTED" hidden="1">"c19140"</definedName>
    <definedName name="IQ_TELECOM_FFIEC" hidden="1">"c13057"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CAPEX" hidden="1">"c17553"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IER_1_CAPITAL_BEFORE_CHARGES_T1_FFIEC" hidden="1">"c13139"</definedName>
    <definedName name="IQ_TIER_1_CAPITAL_FFIEC" hidden="1">"c13143"</definedName>
    <definedName name="IQ_TIER_1_LEVERAGE_RATIO_FFIEC" hidden="1">"c13160"</definedName>
    <definedName name="IQ_TIER_1_RISK_BASED_CAPITAL_RATIO_FFIEC" hidden="1">"c13161"</definedName>
    <definedName name="IQ_TIER_2_CAPITAL_FFIEC" hidden="1">"c13149"</definedName>
    <definedName name="IQ_TIER_3_CAPITAL_ALLOCATED_MARKET_RISK_FFIEC" hidden="1">"c13151"</definedName>
    <definedName name="IQ_TIER_ONE_CAPITAL" hidden="1">"c2667"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100K_OTHER_INSTITUTIONS_FFIEC" hidden="1">"c12953"</definedName>
    <definedName name="IQ_TIME_DEPOSITS_LESS_100K_TOT_DEPOSITS_FFIEC" hidden="1">"c13907"</definedName>
    <definedName name="IQ_TIME_DEPOSITS_MORE_100K_OTHER_INSTITUTIONS_FFIEC" hidden="1">"c12954"</definedName>
    <definedName name="IQ_TIME_DEPOSITS_MORE_100K_TOT_DEPOSITS_FFIEC" hidden="1">"c13906"</definedName>
    <definedName name="IQ_TIME_DEPOSITS_TOTAL_DEPOSITS" hidden="1">"c15723"</definedName>
    <definedName name="IQ_TODAY" hidden="1">0</definedName>
    <definedName name="IQ_TOT_1_4_FAM_LOANS_TOT_LOANS_FFIEC" hidden="1">"c13868"</definedName>
    <definedName name="IQ_TOT_ADJ_INC" hidden="1">"c1616"</definedName>
    <definedName name="IQ_TOT_LEASES_TOT_LOANS_FFIEC" hidden="1">"c13876"</definedName>
    <definedName name="IQ_TOT_NON_RE_LOANS_TOT_LOANS_FFIEC" hidden="1">"c13877"</definedName>
    <definedName name="IQ_TOT_NONTRANS_ACCTS_TOT_DEPOSITS_FFIEC" hidden="1">"c13909"</definedName>
    <definedName name="IQ_TOT_RE_LOANS_TOT_LOANS_FFIEC" hidden="1">"c13873"</definedName>
    <definedName name="IQ_TOT_TIME_DEPOSITS_TOT_DEPOSITS_FFIEC" hidden="1">"c13908"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BNK_SUBTOTAL_AP" hidden="1">"c13644"</definedName>
    <definedName name="IQ_TOTAL_ASSETS_FAIR_VALUE_TOT_FFIEC" hidden="1">"c15405"</definedName>
    <definedName name="IQ_TOTAL_ASSETS_FFIEC" hidden="1">"c12849"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SSETS_LH_FFIEC" hidden="1">"c13106"</definedName>
    <definedName name="IQ_TOTAL_ASSETS_PC_FFIEC" hidden="1">"c13099"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BROKERED_DEPOSIT_FFIEC" hidden="1">"c15304"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DUE_DEPOSITORY_INSTIT_DOM_FFIEC" hidden="1">"c15291"</definedName>
    <definedName name="IQ_TOTAL_CASH_DUE_DEPOSITORY_INSTIT_FFIEC" hidden="1">"c15285"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OMMON_EQUITY_FFIEC" hidden="1">"c13913"</definedName>
    <definedName name="IQ_TOTAL_COMMON_EQUITY_TOTAL_ASSETS_FFIEC" hidden="1">"c13864"</definedName>
    <definedName name="IQ_TOTAL_COMMON_SHARES_OUT_FFIEC" hidden="1">"c12955"</definedName>
    <definedName name="IQ_TOTAL_CONSTRUCTION_LL_REC_DOM_FFIEC" hidden="1">"c13515"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GUIDANCE" hidden="1">"c4533"</definedName>
    <definedName name="IQ_TOTAL_DEBT_GUIDANCE_CIQ" hidden="1">"c5086"</definedName>
    <definedName name="IQ_TOTAL_DEBT_GUIDANCE_CIQ_COL" hidden="1">"c11733"</definedName>
    <definedName name="IQ_TOTAL_DEBT_HIGH_GUIDANCE" hidden="1">"c4196"</definedName>
    <definedName name="IQ_TOTAL_DEBT_HIGH_GUIDANCE_CIQ" hidden="1">"c4608"</definedName>
    <definedName name="IQ_TOTAL_DEBT_HIGH_GUIDANCE_CIQ_COL" hidden="1">"c11257"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GUIDANCE" hidden="1">"c4236"</definedName>
    <definedName name="IQ_TOTAL_DEBT_LOW_GUIDANCE_CIQ" hidden="1">"c4648"</definedName>
    <definedName name="IQ_TOTAL_DEBT_LOW_GUIDANCE_CIQ_COL" hidden="1">"c11297"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EPOSITS_DOM_FFIEC" hidden="1">"c15313"</definedName>
    <definedName name="IQ_TOTAL_DEPOSITS_FFIEC" hidden="1">"c13623"</definedName>
    <definedName name="IQ_TOTAL_DEPOSITS_SUPPLE" hidden="1">"c15253"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CAPITAL_T1_FFIEC" hidden="1">"c13130"</definedName>
    <definedName name="IQ_TOTAL_EQUITY_FFIEC" hidden="1">"c12881"</definedName>
    <definedName name="IQ_TOTAL_EQUITY_INCL_MINORITY_INTEREST_FFIEC" hidden="1">"c15278"</definedName>
    <definedName name="IQ_TOTAL_EQUITY_LH_FFIEC" hidden="1">"c13109"</definedName>
    <definedName name="IQ_TOTAL_EQUITY_PC_FFIEC" hidden="1">"c13102"</definedName>
    <definedName name="IQ_TOTAL_EQUITY_SUBTOTAL_AP" hidden="1">"c8989"</definedName>
    <definedName name="IQ_TOTAL_EQUITY_TOTAL_ASSETS_FFIEC" hidden="1">"c13863"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_EXPENSE_FFIEC" hidden="1">"c13000"</definedName>
    <definedName name="IQ_TOTAL_INT_INCOME_FFIEC" hidden="1">"c12989"</definedName>
    <definedName name="IQ_TOTAL_INTEREST_EXP" hidden="1">"c1382"</definedName>
    <definedName name="IQ_TOTAL_INTEREST_EXP_FOREIGN_FFIEC" hidden="1">"c15374"</definedName>
    <definedName name="IQ_TOTAL_INTEREST_INC_FOREIGN_FFIEC" hidden="1">"c15373"</definedName>
    <definedName name="IQ_TOTAL_INVENTORY" hidden="1">"c1385"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EQUITY_FFIEC" hidden="1">"c12882"</definedName>
    <definedName name="IQ_TOTAL_LIABILITIES_FAIR_VALUE_TOT_FFIEC" hidden="1">"c15411"</definedName>
    <definedName name="IQ_TOTAL_LIABILITIES_FFIEC" hidden="1">"c12873"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L_REC_DOM_FFIEC" hidden="1">"c12917"</definedName>
    <definedName name="IQ_TOTAL_LL_REC_FFIEC" hidden="1">"c12898"</definedName>
    <definedName name="IQ_TOTAL_LOANS" hidden="1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CHARGE_OFFS_FFIEC" hidden="1">"c13186"</definedName>
    <definedName name="IQ_TOTAL_LOANS_LEASES_DUE_30_89_FFIEC" hidden="1">"c13280"</definedName>
    <definedName name="IQ_TOTAL_LOANS_LEASES_DUE_90_FFIEC" hidden="1">"c13306"</definedName>
    <definedName name="IQ_TOTAL_LOANS_LEASES_NON_ACCRUAL_FFIEC" hidden="1">"c13757"</definedName>
    <definedName name="IQ_TOTAL_LOANS_LEASES_RECOV_FFIEC" hidden="1">"c13208"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NTAL_REVENUE" hidden="1">"c16022"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TURN_SWAPS_DERIVATIVES_BENEFICIARY_FFIEC" hidden="1">"c13120"</definedName>
    <definedName name="IQ_TOTAL_RETURN_SWAPS_DERIVATIVES_GUARANTOR_FFIEC" hidden="1">"c13113"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EVENUE_FFIEC" hidden="1">"c13020"</definedName>
    <definedName name="IQ_TOTAL_REVENUE_FOREIGN_FFIEC" hidden="1">"c15383"</definedName>
    <definedName name="IQ_TOTAL_RISK_BASED_CAPITAL_FFIEC" hidden="1">"c13153"</definedName>
    <definedName name="IQ_TOTAL_RISK_BASED_CAPITAL_RATIO_FFIEC" hidden="1">"c13162"</definedName>
    <definedName name="IQ_TOTAL_RISK_WEIGHTED_ASSETS_FFIEC" hidden="1">"c13858"</definedName>
    <definedName name="IQ_TOTAL_ROOMS" hidden="1">"c8789"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RADING_ASSETS_FFIEC" hidden="1">"c12939"</definedName>
    <definedName name="IQ_TOTAL_TRADING_LIAB_DOM_FFIEC" hidden="1">"c12944"</definedName>
    <definedName name="IQ_TOTAL_TRADING_LIAB_FOREIGN_FFIEC" hidden="1">"c15296"</definedName>
    <definedName name="IQ_TOTAL_TRANS_ACCTS_FFIEC" hidden="1">"c15321"</definedName>
    <definedName name="IQ_TOTAL_UNITS" hidden="1">"c8773"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SUPPLE" hidden="1">"c13817"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DJ_SIZE_FINAL" hidden="1">"c16265"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_TERM_FEE" hidden="1">"c13638"</definedName>
    <definedName name="IQ_TR_BUY_TERM_FEE_PCT" hidden="1">"c13639"</definedName>
    <definedName name="IQ_TR_BUYBACK_TO_CLOSE" hidden="1">"c13919"</definedName>
    <definedName name="IQ_TR_BUYBACK_TO_HIGH" hidden="1">"c13917"</definedName>
    <definedName name="IQ_TR_BUYBACK_TO_LOW" hidden="1">"c13918"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CONSID_PCT_FINAL" hidden="1">"c16268"</definedName>
    <definedName name="IQ_TR_CASH_ST_INVEST" hidden="1">"c3025"</definedName>
    <definedName name="IQ_TR_CASH_ST_INVEST_FINAL" hidden="1">"c16266"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ISSUE" hidden="1">"c17571"</definedName>
    <definedName name="IQ_TR_CO_NET_PROCEEDS_PCT" hidden="1">"c2270"</definedName>
    <definedName name="IQ_TR_COMMENTS" hidden="1">"c2383"</definedName>
    <definedName name="IQ_TR_CURRENCY" hidden="1">"c3016"</definedName>
    <definedName name="IQ_TR_DEAL_APPROACH" hidden="1">"c12706"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BT_CONSID_PCT_FINAL" hidden="1">"c16274"</definedName>
    <definedName name="IQ_TR_DEF_AGRMT_DATE" hidden="1">"c2285"</definedName>
    <definedName name="IQ_TR_DISCLOSED_FEES_EXP" hidden="1">"c2288"</definedName>
    <definedName name="IQ_TR_EARNOUTS" hidden="1">"c3023"</definedName>
    <definedName name="IQ_TR_EARNOUTS_FINAL" hidden="1">"c16262"</definedName>
    <definedName name="IQ_TR_EX_OVER_SHARES_ISSUE" hidden="1">"c17566"</definedName>
    <definedName name="IQ_TR_EXPIRED_DATE" hidden="1">"c2412"</definedName>
    <definedName name="IQ_TR_GROSS_OFFERING_AMT" hidden="1">"c2262"</definedName>
    <definedName name="IQ_TR_GROSS_PROCEEDS_ISSUE" hidden="1">"c17568"</definedName>
    <definedName name="IQ_TR_HYBRID_CONSID_PCT" hidden="1">"c2300"</definedName>
    <definedName name="IQ_TR_HYBRID_CONSID_PCT_FINAL" hidden="1">"c16276"</definedName>
    <definedName name="IQ_TR_IMPLIED_EQ" hidden="1">"c3018"</definedName>
    <definedName name="IQ_TR_IMPLIED_EQ_BV" hidden="1">"c3019"</definedName>
    <definedName name="IQ_TR_IMPLIED_EQ_BV_FINAL" hidden="1">"c16255"</definedName>
    <definedName name="IQ_TR_IMPLIED_EQ_FINAL" hidden="1">"c16253"</definedName>
    <definedName name="IQ_TR_IMPLIED_EQ_NI_LTM" hidden="1">"c3020"</definedName>
    <definedName name="IQ_TR_IMPLIED_EQ_NI_LTM_FINAL" hidden="1">"c16254"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_FINAL" hidden="1">"c16252"</definedName>
    <definedName name="IQ_TR_IMPLIED_EV_EBITDA" hidden="1">"c2303"</definedName>
    <definedName name="IQ_TR_IMPLIED_EV_EBITDA_FINAL" hidden="1">"c16251"</definedName>
    <definedName name="IQ_TR_IMPLIED_EV_FINAL" hidden="1">"c16249"</definedName>
    <definedName name="IQ_TR_IMPLIED_EV_NI_LTM" hidden="1">"c2307"</definedName>
    <definedName name="IQ_TR_IMPLIED_EV_REV" hidden="1">"c2304"</definedName>
    <definedName name="IQ_TR_IMPLIED_EV_REV_FINAL" hidden="1">"c16250"</definedName>
    <definedName name="IQ_TR_INIT_FILED_DATE" hidden="1">"c3495"</definedName>
    <definedName name="IQ_TR_IPO_TRANSACTION_ID" hidden="1">"c17554"</definedName>
    <definedName name="IQ_TR_LEAD_UNDERWRITERS" hidden="1">"c17576"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ASSUM_LIABILITIES_FINAL" hidden="1">"c16264"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FFER_PER_SHARE_FINAL" hidden="1">"c16257"</definedName>
    <definedName name="IQ_TR_OPTIONS_CONSID_PCT" hidden="1">"c2311"</definedName>
    <definedName name="IQ_TR_OPTIONS_CONSID_PCT_FINAL" hidden="1">"c16278"</definedName>
    <definedName name="IQ_TR_OTHER_CONSID" hidden="1">"c3022"</definedName>
    <definedName name="IQ_TR_OTHER_CONSID_FINAL" hidden="1">"c16261"</definedName>
    <definedName name="IQ_TR_PCT_SOUGHT" hidden="1">"c2309"</definedName>
    <definedName name="IQ_TR_PCT_SOUGHT_ACQUIRED_FINAL" hidden="1">"c16256"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_1D_PRICE" hidden="1">"c19180"</definedName>
    <definedName name="IQ_TR_PO_1D_RETURN" hidden="1">"c19179"</definedName>
    <definedName name="IQ_TR_PO_1M_PRICE" hidden="1">"c19184"</definedName>
    <definedName name="IQ_TR_PO_1M_RETURN" hidden="1">"c19183"</definedName>
    <definedName name="IQ_TR_PO_1W_PRICE" hidden="1">"c19182"</definedName>
    <definedName name="IQ_TR_PO_1W_RETURN" hidden="1">"c19181"</definedName>
    <definedName name="IQ_TR_PO_1Y_PRICE" hidden="1">"c19190"</definedName>
    <definedName name="IQ_TR_PO_1Y_RETURN" hidden="1">"c19189"</definedName>
    <definedName name="IQ_TR_PO_3M_PRICE" hidden="1">"c19186"</definedName>
    <definedName name="IQ_TR_PO_3M_RETURN" hidden="1">"c19185"</definedName>
    <definedName name="IQ_TR_PO_6M_PRICE" hidden="1">"c19188"</definedName>
    <definedName name="IQ_TR_PO_6M_RETURN" hidden="1">"c19187"</definedName>
    <definedName name="IQ_TR_PO_DISCOUNT_SHARE" hidden="1">"c17562"</definedName>
    <definedName name="IQ_TR_PO_ISSUE_CURRENCY" hidden="1">"c17557"</definedName>
    <definedName name="IQ_TR_PO_NET_PROCEEDS_SHARE" hidden="1">"c17563"</definedName>
    <definedName name="IQ_TR_PO_PRICE_RANGE" hidden="1">"c17559"</definedName>
    <definedName name="IQ_TR_PO_PRICE_RANGE_HIGH" hidden="1">"c17560"</definedName>
    <definedName name="IQ_TR_PO_PRICE_RANGE_LOW" hidden="1">"c17561"</definedName>
    <definedName name="IQ_TR_PO_PRICE_SHARE" hidden="1">"c17558"</definedName>
    <definedName name="IQ_TR_PO_SHARES_OFFERED" hidden="1">"c17564"</definedName>
    <definedName name="IQ_TR_PO_SHARES_OFFERED_EX_OVER" hidden="1">"c17567"</definedName>
    <definedName name="IQ_TR_PO_TICKER" hidden="1">"c17556"</definedName>
    <definedName name="IQ_TR_PO_TRADING_ITEM_CIQID" hidden="1">"c17555"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F_CONSID_PCT_FINAL" hidden="1">"c16272"</definedName>
    <definedName name="IQ_TR_PREMONEY_VAL" hidden="1">"c2287"</definedName>
    <definedName name="IQ_TR_PRINTING_FEES" hidden="1">"c2276"</definedName>
    <definedName name="IQ_TR_PROCEEDS_EX_OVER_ISSUE" hidden="1">"c17574"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G_OVER_SHARES_ISSUE" hidden="1">"c17565"</definedName>
    <definedName name="IQ_TR_REG_OVER_VALUE_ISSUE" hidden="1">"c17572"</definedName>
    <definedName name="IQ_TR_REGISTRATION_FEES" hidden="1">"c2274"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_TERM_FEE" hidden="1">"c2298"</definedName>
    <definedName name="IQ_TR_SELL_TERM_FEE_PCT" hidden="1">"c2297"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ISSUE" hidden="1">"c17570"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TOCK_CONSID_PCT_FINAL" hidden="1">"c16270"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ASH_FINAL" hidden="1">"c16267"</definedName>
    <definedName name="IQ_TR_TOTAL_CONSID_SH" hidden="1">"c2316"</definedName>
    <definedName name="IQ_TR_TOTAL_CONSID_SH_FINAL" hidden="1">"c16260"</definedName>
    <definedName name="IQ_TR_TOTAL_DEBT" hidden="1">"c2317"</definedName>
    <definedName name="IQ_TR_TOTAL_DEBT_FINAL" hidden="1">"c16273"</definedName>
    <definedName name="IQ_TR_TOTAL_EX_OVER_VALUE_ISSUE" hidden="1">"c17573"</definedName>
    <definedName name="IQ_TR_TOTAL_GROSS_TV" hidden="1">"c2318"</definedName>
    <definedName name="IQ_TR_TOTAL_GROSS_TV_FINAL" hidden="1">"c16259"</definedName>
    <definedName name="IQ_TR_TOTAL_HYBRID" hidden="1">"c2319"</definedName>
    <definedName name="IQ_TR_TOTAL_HYBRID_FINAL" hidden="1">"c16275"</definedName>
    <definedName name="IQ_TR_TOTAL_LEGAL_FEES" hidden="1">"c2272"</definedName>
    <definedName name="IQ_TR_TOTAL_NET_TV" hidden="1">"c2320"</definedName>
    <definedName name="IQ_TR_TOTAL_NET_TV_FINAL" hidden="1">"c16258"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OPTIONS_BUYER_FINAL" hidden="1">"c16277"</definedName>
    <definedName name="IQ_TR_TOTAL_OPTIONS_FINAL" hidden="1">"c16263"</definedName>
    <definedName name="IQ_TR_TOTAL_PREFERRED" hidden="1">"c2321"</definedName>
    <definedName name="IQ_TR_TOTAL_PREFERRED_FINAL" hidden="1">"c16271"</definedName>
    <definedName name="IQ_TR_TOTAL_REG_AMT" hidden="1">"c2261"</definedName>
    <definedName name="IQ_TR_TOTAL_STOCK" hidden="1">"c2323"</definedName>
    <definedName name="IQ_TR_TOTAL_STOCK_FINAL" hidden="1">"c16269"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UNDERWRITER_COMP_ISSUE" hidden="1">"c17569"</definedName>
    <definedName name="IQ_TR_UNDERWRITERS_OTHER" hidden="1">"c17577"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ASSETS_FAIR_VALUE_TOT_FFIEC" hidden="1">"c13210"</definedName>
    <definedName name="IQ_TRADING_ASSETS_FFIEC" hidden="1">"c12812"</definedName>
    <definedName name="IQ_TRADING_ASSETS_FOREIGN_FFIEC" hidden="1">"c12940"</definedName>
    <definedName name="IQ_TRADING_ASSETS_LEVEL_1_FFIEC" hidden="1">"c13218"</definedName>
    <definedName name="IQ_TRADING_ASSETS_LEVEL_2_FFIEC" hidden="1">"c13226"</definedName>
    <definedName name="IQ_TRADING_ASSETS_LEVEL_3_FFIEC" hidden="1">"c13234"</definedName>
    <definedName name="IQ_TRADING_ASSETS_QUARTERLY_AVG_FFIEC" hidden="1">"c13085"</definedName>
    <definedName name="IQ_TRADING_CURRENCY" hidden="1">"c2212"</definedName>
    <definedName name="IQ_TRADING_ITEM_CIQID" hidden="1">"c8949"</definedName>
    <definedName name="IQ_TRADING_LIABILITIES_FAIR_VALUE_TOT_FFIEC" hidden="1">"c13214"</definedName>
    <definedName name="IQ_TRADING_LIABILITIES_FFIEC" hidden="1">"c12858"</definedName>
    <definedName name="IQ_TRADING_LIABILITIES_LEVEL_1_FFIEC" hidden="1">"c13222"</definedName>
    <definedName name="IQ_TRADING_LIABILITIES_LEVEL_2_FFIEC" hidden="1">"c13230"</definedName>
    <definedName name="IQ_TRADING_LIABILITIES_LEVEL_3_FFIEC" hidden="1">"c13238"</definedName>
    <definedName name="IQ_TRADING_REV_FOREIGN_FFIEC" hidden="1">"c15377"</definedName>
    <definedName name="IQ_TRADING_REV_OPERATING_INC_FFIEC" hidden="1">"c13385"</definedName>
    <definedName name="IQ_TRADING_REVENUE_FFIEC" hidden="1">"c13004"</definedName>
    <definedName name="IQ_TRANS_ACCTS_TOT_DEPOSITS_FFIEC" hidden="1">"c13904"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INVEST_SECURITIES_FFIEC" hidden="1">"c13457"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FIEC" hidden="1">"c15352"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RUSTEE" hidden="1">"c8959"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BEDS" hidden="1">"c8783"</definedName>
    <definedName name="IQ_UNCONSOL_NOI" hidden="1">"c16067"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GROUND_RESERVES_COAL" hidden="1">"c15922"</definedName>
    <definedName name="IQ_UNDERGROUND_RESERVES_TO_TOTAL_RESERVES_COAL" hidden="1">"c15960"</definedName>
    <definedName name="IQ_UNDERWRITER" hidden="1">"c8958"</definedName>
    <definedName name="IQ_UNDERWRITING_PROFIT" hidden="1">"c9975"</definedName>
    <definedName name="IQ_UNDRAWN_CP" hidden="1">"c2518"</definedName>
    <definedName name="IQ_UNDRAWN_CREDIT" hidden="1">"c3032"</definedName>
    <definedName name="IQ_UNDRAWN_FED_FUNDS" hidden="1">"c2524"</definedName>
    <definedName name="IQ_UNDRAWN_FHLB" hidden="1">"c2520"</definedName>
    <definedName name="IQ_UNDRAWN_LC" hidden="1">"c2521"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LL_REC_DOM_FFIEC" hidden="1">"c12916"</definedName>
    <definedName name="IQ_UNEARNED_INCOME_LL_REC_FFIEC" hidden="1">"c12897"</definedName>
    <definedName name="IQ_UNEARNED_PREMIUMS_PC_FFIEC" hidden="1">"c13101"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COMMITMENTS_COMMERCIAL_RE_UNUSED_FFIEC" hidden="1">"c13246"</definedName>
    <definedName name="IQ_UNSECURED_DEBT" hidden="1">"c2548"</definedName>
    <definedName name="IQ_UNSECURED_DEBT_PCT" hidden="1">"c2549"</definedName>
    <definedName name="IQ_UNUSUAL_EXP" hidden="1">"c1456"</definedName>
    <definedName name="IQ_UPGRADE_REBUILD_CABLE_INVEST" hidden="1">"c15804"</definedName>
    <definedName name="IQ_US_ADDRESS_LEASE_FIN_REC_FFIEC" hidden="1">"c13624"</definedName>
    <definedName name="IQ_US_AGENCY_OBLIG_FFIEC" hidden="1">"c12779"</definedName>
    <definedName name="IQ_US_AGENCY_OBLIG_HTM_AMORT_COST_FFIEC" hidden="1">"c20438"</definedName>
    <definedName name="IQ_US_AGENCY_OBLIG_HTM_FAIR_VAL_FFIEC" hidden="1">"c20473"</definedName>
    <definedName name="IQ_US_AGENCY_OBLIG_TRADING_DOM_FFIEC" hidden="1">"c12919"</definedName>
    <definedName name="IQ_US_AGENCY_OBLIG_TRADING_FFIEC" hidden="1">"c12814"</definedName>
    <definedName name="IQ_US_AGENCY_OBLIGATIONS_AFS_AMORT_COST_FFIEC" hidden="1">"c20490"</definedName>
    <definedName name="IQ_US_AGENCY_OBLIGATIONS_AFS_FAIR_VAL_FFIEC" hidden="1">"c20455"</definedName>
    <definedName name="IQ_US_AGENCY_OBLIGATIONS_AVAIL_SALE_FFIEC" hidden="1">"c12793"</definedName>
    <definedName name="IQ_US_BANKS_OTHER_INST_FOREIGN_DEP_FFIEC" hidden="1">"c15343"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INST_DUE_30_89_FFIEC" hidden="1">"c13268"</definedName>
    <definedName name="IQ_US_INST_DUE_90_FFIEC" hidden="1">"c13294"</definedName>
    <definedName name="IQ_US_INST_NON_ACCRUAL_FFIEC" hidden="1">"c13320"</definedName>
    <definedName name="IQ_US_SPONSORED_AGENCY_OBLIG_AFS_AMORT_COST_FFIEC" hidden="1">"c20491"</definedName>
    <definedName name="IQ_US_SPONSORED_AGENCY_OBLIG_AFS_FAIR_VAL_FFIEC" hidden="1">"c20456"</definedName>
    <definedName name="IQ_US_SPONSORED_AGENCY_OBLIG_AVAIL_SALE_FFIEC" hidden="1">"c12794"</definedName>
    <definedName name="IQ_US_SPONSORED_AGENCY_OBLIG_FFIEC" hidden="1">"c12780"</definedName>
    <definedName name="IQ_US_SPONSORED_AGENCY_OBLIG_HTM_AMORT_COST_FFIEC" hidden="1">"c20439"</definedName>
    <definedName name="IQ_US_SPONSORED_AGENCY_OBLIG_HTM_FAIR_VAL_FFIEC" hidden="1">"c20474"</definedName>
    <definedName name="IQ_US_TREASURY_SEC_AFS_AMORT_COST_FFIEC" hidden="1">"c20489"</definedName>
    <definedName name="IQ_US_TREASURY_SEC_AFS_FAIR_VAL_FFIEC" hidden="1">"c20454"</definedName>
    <definedName name="IQ_US_TREASURY_SEC_AVAIL_SALE_FFIEC" hidden="1">"c12792"</definedName>
    <definedName name="IQ_US_TREASURY_SEC_TRADING_DOM_FFIEC" hidden="1">"c12918"</definedName>
    <definedName name="IQ_US_TREASURY_SEC_TRADING_FFIEC" hidden="1">"c12813"</definedName>
    <definedName name="IQ_US_TREASURY_SECURITIES_FFIEC" hidden="1">"c12778"</definedName>
    <definedName name="IQ_US_TREASURY_SECURITIES_HTM_AMORT_COST_FFIEC" hidden="1">"c20437"</definedName>
    <definedName name="IQ_US_TREASURY_SECURITIES_HTM_FAIR_VAL_FFIEC" hidden="1">"c20472"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E_CUSTOMER_ASSETS" hidden="1">"c20433"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ARIABLE_RATE_PREFERREDS_INT_SENSITIVITY_FFIEC" hidden="1">"c13096"</definedName>
    <definedName name="IQ_VC_REV_OPERATING_INC_FFIEC" hidden="1">"c13388"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EHICLE_LOANS" hidden="1">"c15249"</definedName>
    <definedName name="IQ_VENTURE_CAPITAL_REVENUE_FFIEC" hidden="1">"c13010"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VWAP" hidden="1">"c13514"</definedName>
    <definedName name="IQ_WAC_CURRENT" hidden="1">"c8961"</definedName>
    <definedName name="IQ_WAC_ORIGINAL" hidden="1">"c8953"</definedName>
    <definedName name="IQ_WAM_CURRENT" hidden="1">"c8962"</definedName>
    <definedName name="IQ_WAM_ORIGINAL" hidden="1">"c8952"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XDIV_DATE_LIST" hidden="1">"c17416"</definedName>
    <definedName name="IQ_YEAR_FOUNDED" hidden="1">"c6793"</definedName>
    <definedName name="IQ_YEARHIGH" hidden="1">"c1337"</definedName>
    <definedName name="IQ_YEARHIGH_DATE" hidden="1">"c2250"</definedName>
    <definedName name="IQ_YEARHIGH_RT" hidden="1">"YEARHIGH"</definedName>
    <definedName name="IQ_YEARLOW" hidden="1">"c1338"</definedName>
    <definedName name="IQ_YEARLOW_DATE" hidden="1">"c2251"</definedName>
    <definedName name="IQ_YEARLOW_RT" hidden="1">"YEARLOW"</definedName>
    <definedName name="IQ_YIELD_CURVE_LIST" hidden="1">"c19250"</definedName>
    <definedName name="IQ_YIELD_FED_FUNDS_SOLD_FFIEC" hidden="1">"c13487"</definedName>
    <definedName name="IQ_YIELD_TRADING_ASSETS_FFIEC" hidden="1">"c13488"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RAX14" hidden="1">"$AX$15:$AX$78"</definedName>
    <definedName name="IQRAY14" hidden="1">"$AY$15:$AY$266"</definedName>
    <definedName name="iQShowHideColumns" hidden="1">"iQShowAll"</definedName>
    <definedName name="IRS">#REF!</definedName>
    <definedName name="iş" hidden="1">{#N/A,#N/A,TRUE,"Sales Comparison";#N/A,#N/A,TRUE,"Cum. Summary FFR";#N/A,#N/A,TRUE,"Monthly Summary FFR";#N/A,#N/A,TRUE,"Cum. Summary TL";#N/A,#N/A,TRUE,"Monthly Summary TL"}</definedName>
    <definedName name="Isen">#REF!</definedName>
    <definedName name="Isen1">#REF!</definedName>
    <definedName name="Isen2">#REF!</definedName>
    <definedName name="Isen3">#REF!</definedName>
    <definedName name="Isent">#REF!</definedName>
    <definedName name="ısıl" hidden="1">#N/A</definedName>
    <definedName name="Issue">#REF!</definedName>
    <definedName name="Issue_Date">#REF!</definedName>
    <definedName name="issue1">#REF!</definedName>
    <definedName name="issue2">#REF!</definedName>
    <definedName name="issue3">#REF!</definedName>
    <definedName name="issue4">#REF!</definedName>
    <definedName name="issue5">#REF!</definedName>
    <definedName name="ITEM">#REF!</definedName>
    <definedName name="iu" hidden="1">#REF!</definedName>
    <definedName name="ıuhıgıuguygf" hidden="1">#N/A</definedName>
    <definedName name="iuy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j" hidden="1">{"IASTrail",#N/A,FALSE,"IAS"}</definedName>
    <definedName name="J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J_162">#REF!</definedName>
    <definedName name="J_177">#REF!</definedName>
    <definedName name="J_204">#REF!</definedName>
    <definedName name="JA">#REF!</definedName>
    <definedName name="JB" hidden="1">{0,0,0,0;0,0,0,0;0,0,0,0;0,0,0,0;0,0,0,0;0,0,0,0}</definedName>
    <definedName name="JD">#REF!</definedName>
    <definedName name="jdjdyj" hidden="1">{0,0}</definedName>
    <definedName name="jet_bbl">#REF!</definedName>
    <definedName name="JetFuelOilDemandGrowth">NA()</definedName>
    <definedName name="JetFuelOilDemandGrowth_1">"$#ССЫЛ!.$E$383:$E$403"</definedName>
    <definedName name="jfdn" hidden="1">#REF!</definedName>
    <definedName name="jgmgj">#REF!</definedName>
    <definedName name="JH">#REF!</definedName>
    <definedName name="JHHG" hidden="1">#REF!</definedName>
    <definedName name="jhhhh" hidden="1">{#N/A,#N/A,FALSE,"CCTV"}</definedName>
    <definedName name="jhtjyt" hidden="1">#REF!</definedName>
    <definedName name="JJ">#REF!</definedName>
    <definedName name="JJHG" hidden="1">#REF!</definedName>
    <definedName name="jjhj" hidden="1">#REF!</definedName>
    <definedName name="jjjjj" hidden="1">#REF!</definedName>
    <definedName name="jjjjjjjjjjjj" hidden="1">{"План продаж",#N/A,FALSE,"товар"}</definedName>
    <definedName name="jjk" hidden="1">{0,0}</definedName>
    <definedName name="jkdjkadjakdjada" hidden="1">{#N/A,#N/A,TRUE,"Содержание";#N/A,#N/A,TRUE,"Выработка";#N/A,#N/A,TRUE,"Расход"}</definedName>
    <definedName name="jkjljljl" hidden="1">{#N/A,#N/A,FALSE,"FA_1";#N/A,#N/A,FALSE,"Dep'n SE";#N/A,#N/A,FALSE,"Dep'n FC"}</definedName>
    <definedName name="jkk" hidden="1">{"Equity Only",#N/A,FALSE,"NNGT1";"Equity Only",#N/A,FALSE,"NNT1";"Equity Only",#N/A,FALSE,"SNT1";"Equity Only",#N/A,FALSE,"BNT1";"Equity Only",#N/A,FALSE,"PNT1"}</definedName>
    <definedName name="jksfjskfjskfjsf" hidden="1">{#N/A,#N/A,TRUE,"Содержание";#N/A,#N/A,TRUE,"Выработка";#N/A,#N/A,TRUE,"Расход"}</definedName>
    <definedName name="jksh" hidden="1">{#N/A,#N/A,FALSE,"Aging Summary";#N/A,#N/A,FALSE,"Ratio Analysis";#N/A,#N/A,FALSE,"Test 120 Day Accts";#N/A,#N/A,FALSE,"Tickmarks"}</definedName>
    <definedName name="Job">#REF!</definedName>
    <definedName name="Job_No.">#REF!</definedName>
    <definedName name="JOB_NUMBER">#REF!</definedName>
    <definedName name="john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JOINT">#REF!</definedName>
    <definedName name="JOINT_M">#REF!</definedName>
    <definedName name="jpy">117.2</definedName>
    <definedName name="JPY_NTD">#REF!</definedName>
    <definedName name="JR1st">#REF!</definedName>
    <definedName name="JR1stUSD">#REF!</definedName>
    <definedName name="JR2nd">#REF!</definedName>
    <definedName name="JR2ndUSD">#REF!</definedName>
    <definedName name="JR3rd">#REF!</definedName>
    <definedName name="JR3rdUSD">#REF!</definedName>
    <definedName name="JR4th">#REF!</definedName>
    <definedName name="JR4thUSD">#REF!</definedName>
    <definedName name="JR5th">#REF!</definedName>
    <definedName name="JR5thUSD">#REF!</definedName>
    <definedName name="JR6th">#REF!</definedName>
    <definedName name="JR6thUSD">#REF!</definedName>
    <definedName name="JR7th">#REF!</definedName>
    <definedName name="JR7thUSD">#REF!</definedName>
    <definedName name="JR8th">#REF!</definedName>
    <definedName name="JR8thUSD">#REF!</definedName>
    <definedName name="JR9th">#REF!</definedName>
    <definedName name="JR9thUSD">#REF!</definedName>
    <definedName name="JRLines">#REF!</definedName>
    <definedName name="JRLinesUSD">#REF!</definedName>
    <definedName name="jrtttttttttt" hidden="1">#REF!</definedName>
    <definedName name="jskjkfjskfjskfjsfs" hidden="1">{#N/A,#N/A,TRUE,"Содержание";#N/A,#N/A,TRUE,"Выработка";#N/A,#N/A,TRUE,"Расход"}</definedName>
    <definedName name="jun_boxno">#REF!</definedName>
    <definedName name="juu" hidden="1">#REF!</definedName>
    <definedName name="jyjj" hidden="1">{0,0}</definedName>
    <definedName name="K" hidden="1">#REF!</definedName>
    <definedName name="K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K_21">#REF!</definedName>
    <definedName name="K_41">#REF!</definedName>
    <definedName name="K_56">#REF!</definedName>
    <definedName name="K_67">#REF!</definedName>
    <definedName name="K_74">#REF!</definedName>
    <definedName name="K_82">#REF!</definedName>
    <definedName name="K_85">#REF!</definedName>
    <definedName name="k_balance_name">#REF!</definedName>
    <definedName name="k_base_scenario_name">#REF!</definedName>
    <definedName name="k_beg_date">#REF!</definedName>
    <definedName name="k_binding_name">#REF!</definedName>
    <definedName name="k_bonus_name">#REF!</definedName>
    <definedName name="k_code">#REF!</definedName>
    <definedName name="k_custom_name">#REF!</definedName>
    <definedName name="k_demand_name">#REF!</definedName>
    <definedName name="k_end_date">#REF!</definedName>
    <definedName name="k_epoch_interval_name">#REF!</definedName>
    <definedName name="k_fixcost_name">#REF!</definedName>
    <definedName name="k_forecast_name">#REF!</definedName>
    <definedName name="k_note">#REF!</definedName>
    <definedName name="k_optimex_version_name">#REF!</definedName>
    <definedName name="k_owner_name">#REF!</definedName>
    <definedName name="k_pricing_name">#REF!</definedName>
    <definedName name="k_route_name">#REF!</definedName>
    <definedName name="K_Rrice_Brent">#REF!</definedName>
    <definedName name="k_sensitivity_name">#REF!</definedName>
    <definedName name="k_spending_name">#REF!</definedName>
    <definedName name="k_tranche_name">#REF!</definedName>
    <definedName name="k_transfert_name">#REF!</definedName>
    <definedName name="K111_">#REF!</definedName>
    <definedName name="K112_">#REF!</definedName>
    <definedName name="K120_">#REF!</definedName>
    <definedName name="K121_">#REF!</definedName>
    <definedName name="K122_">#REF!</definedName>
    <definedName name="K123_">#REF!</definedName>
    <definedName name="K130_">#REF!</definedName>
    <definedName name="K131_">#REF!</definedName>
    <definedName name="K132_">#REF!</definedName>
    <definedName name="K133_">#REF!</definedName>
    <definedName name="K134_">#REF!</definedName>
    <definedName name="K135_">#REF!</definedName>
    <definedName name="K136_">#REF!</definedName>
    <definedName name="K140_">#REF!</definedName>
    <definedName name="K190_">#REF!</definedName>
    <definedName name="K210_">#REF!</definedName>
    <definedName name="K211_">#REF!</definedName>
    <definedName name="K212_">#REF!</definedName>
    <definedName name="K213_">#REF!</definedName>
    <definedName name="K214_">#REF!</definedName>
    <definedName name="K215_">#REF!</definedName>
    <definedName name="K216_">#REF!</definedName>
    <definedName name="K217_">#REF!</definedName>
    <definedName name="K218_">#REF!</definedName>
    <definedName name="K220_">#REF!</definedName>
    <definedName name="K221_">#REF!</definedName>
    <definedName name="K222_">#REF!</definedName>
    <definedName name="K223_">#REF!</definedName>
    <definedName name="K224_">#REF!</definedName>
    <definedName name="K225_">#REF!</definedName>
    <definedName name="K226_">#REF!</definedName>
    <definedName name="K230_">#REF!</definedName>
    <definedName name="K231_">#REF!</definedName>
    <definedName name="K232_">#REF!</definedName>
    <definedName name="K233_">#REF!</definedName>
    <definedName name="K234_">#REF!</definedName>
    <definedName name="K235_">#REF!</definedName>
    <definedName name="K236_">#REF!</definedName>
    <definedName name="K240_">#REF!</definedName>
    <definedName name="K241_">#REF!</definedName>
    <definedName name="K242_">#REF!</definedName>
    <definedName name="K243_">#REF!</definedName>
    <definedName name="K250_">#REF!</definedName>
    <definedName name="K251_">#REF!</definedName>
    <definedName name="K252_">#REF!</definedName>
    <definedName name="K253_">#REF!</definedName>
    <definedName name="K254_">#REF!</definedName>
    <definedName name="K260_">#REF!</definedName>
    <definedName name="K290_">#REF!</definedName>
    <definedName name="K310_">#REF!</definedName>
    <definedName name="K320_">#REF!</definedName>
    <definedName name="K390_">#REF!</definedName>
    <definedName name="K399_">#REF!</definedName>
    <definedName name="K410_">#REF!</definedName>
    <definedName name="K420_">#REF!</definedName>
    <definedName name="K430_">#REF!</definedName>
    <definedName name="K431_">#REF!</definedName>
    <definedName name="K432_">#REF!</definedName>
    <definedName name="K440_">#REF!</definedName>
    <definedName name="K450_">#REF!</definedName>
    <definedName name="K460_">#REF!</definedName>
    <definedName name="K470_">#REF!</definedName>
    <definedName name="K480_">#REF!</definedName>
    <definedName name="K490_">#REF!</definedName>
    <definedName name="k4ek45e7k" hidden="1">#REF!</definedName>
    <definedName name="K510_">#REF!</definedName>
    <definedName name="K511_">#REF!</definedName>
    <definedName name="K512_">#REF!</definedName>
    <definedName name="K513_">#REF!</definedName>
    <definedName name="K590_">#REF!</definedName>
    <definedName name="K610_">#REF!</definedName>
    <definedName name="K611_">#REF!</definedName>
    <definedName name="K612_">#REF!</definedName>
    <definedName name="K620_">#REF!</definedName>
    <definedName name="K621_">#REF!</definedName>
    <definedName name="K622_">#REF!</definedName>
    <definedName name="K623_">#REF!</definedName>
    <definedName name="K624_">#REF!</definedName>
    <definedName name="K625_">#REF!</definedName>
    <definedName name="K626_">#REF!</definedName>
    <definedName name="K627_">#REF!</definedName>
    <definedName name="K628_">#REF!</definedName>
    <definedName name="K630_">#REF!</definedName>
    <definedName name="K640_">#REF!</definedName>
    <definedName name="K650_">#REF!</definedName>
    <definedName name="K660_">#REF!</definedName>
    <definedName name="K670_">#REF!</definedName>
    <definedName name="K690_">#REF!</definedName>
    <definedName name="K699_">#REF!</definedName>
    <definedName name="KA">#REF!</definedName>
    <definedName name="kaan" hidden="1">{#N/A,#N/A,FALSE,"Aging Summary";#N/A,#N/A,FALSE,"Ratio Analysis";#N/A,#N/A,FALSE,"Test 120 Day Accts";#N/A,#N/A,FALSE,"Tickmarks"}</definedName>
    <definedName name="KD">#REF!</definedName>
    <definedName name="Keit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Kero_Excise">NA()</definedName>
    <definedName name="Kero_Excise_1">"$#ССЫЛ!.$E$582:$E$602"</definedName>
    <definedName name="KEY" hidden="1">#REF!</definedName>
    <definedName name="KGas">#REF!</definedName>
    <definedName name="kghlgh" hidden="1">{#N/A,#N/A,FALSE,"CCTV"}</definedName>
    <definedName name="KH" hidden="1">#N/A</definedName>
    <definedName name="kı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kiulil" hidden="1">{#N/A,#N/A,FALSE,"CCTV"}</definedName>
    <definedName name="kjfkl" hidden="1">{#N/A,#N/A,FALSE,"HO Rates";#N/A,#N/A,FALSE,"HO Sum"}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lh" hidden="1">{#N/A,#N/A,FALSE,"CCTV"}</definedName>
    <definedName name="kjhljhk" hidden="1">{#N/A,#N/A,FALSE,"CCTV"}</definedName>
    <definedName name="kjkjkjkjkjk">#REF!</definedName>
    <definedName name="kjmfm" hidden="1">{0,0}</definedName>
    <definedName name="kk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KKK" hidden="1">{#N/A,#N/A,FALSE,"CCTV"}</definedName>
    <definedName name="KKK_1" hidden="1">{#N/A,#N/A,FALSE,"CCTV"}</definedName>
    <definedName name="kkkk" hidden="1">#REF!</definedName>
    <definedName name="kkkkk" hidden="1">{"Товар.выработка без продаж",#N/A,FALSE,"товар"}</definedName>
    <definedName name="kkl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KL_Std_pro_Z">#REF!</definedName>
    <definedName name="KLiquid">#REF!</definedName>
    <definedName name="klkjj" hidden="1">{#N/A,#N/A,FALSE,"Aging Summary";#N/A,#N/A,FALSE,"Ratio Analysis";#N/A,#N/A,FALSE,"Test 120 Day Accts";#N/A,#N/A,FALSE,"Tickmarks"}</definedName>
    <definedName name="Klöpper1">#REF!</definedName>
    <definedName name="Klöpper2">#REF!</definedName>
    <definedName name="Klöpper3">#REF!</definedName>
    <definedName name="KMS">#REF!</definedName>
    <definedName name="Kolonnen">#REF!</definedName>
    <definedName name="Kolonnen2">#REF!</definedName>
    <definedName name="kosten">#REF!</definedName>
    <definedName name="KR_Std_pro_Z">#REF!</definedName>
    <definedName name="KRITERIEN">#REF!</definedName>
    <definedName name="Kriterien_BC">#REF!</definedName>
    <definedName name="Kriterien_Bulk">#REF!</definedName>
    <definedName name="Kriterien_Diff">#REF!</definedName>
    <definedName name="Kriterien_EXTRA">#REF!</definedName>
    <definedName name="Kriterien_Option">#REF!</definedName>
    <definedName name="Kriterien_Sonder">#REF!</definedName>
    <definedName name="KRW">#REF!</definedName>
    <definedName name="ktyf" hidden="1">"ALOG7Q6EE54VBGB4KA6Z5FAIY"</definedName>
    <definedName name="ktzuk" hidden="1">{#N/A,#N/A,FALSE,"Aging Summary";#N/A,#N/A,FALSE,"Ratio Analysis";#N/A,#N/A,FALSE,"Test 120 Day Accts";#N/A,#N/A,FALSE,"Tickmarks"}</definedName>
    <definedName name="Kurs">#REF!</definedName>
    <definedName name="KursApr">#REF!</definedName>
    <definedName name="KursAug">#REF!</definedName>
    <definedName name="KursDec">#REF!</definedName>
    <definedName name="KursFeb">#REF!</definedName>
    <definedName name="KursJan">#REF!</definedName>
    <definedName name="KursJul">#REF!</definedName>
    <definedName name="KursJun">#REF!</definedName>
    <definedName name="KursMar">#REF!</definedName>
    <definedName name="KursMay">#REF!</definedName>
    <definedName name="KursNov">#REF!</definedName>
    <definedName name="KursOct">#REF!</definedName>
    <definedName name="KursSep">#REF!</definedName>
    <definedName name="Kurzz.">#REF!</definedName>
    <definedName name="KZT">#REF!</definedName>
    <definedName name="L">#REF!</definedName>
    <definedName name="L_NTG2">#REF!</definedName>
    <definedName name="L100x70x7">#REF!</definedName>
    <definedName name="L150x12">#REF!</definedName>
    <definedName name="L30x3">#REF!</definedName>
    <definedName name="L40x5">#REF!</definedName>
    <definedName name="L50x5">#REF!</definedName>
    <definedName name="L60x6">#REF!</definedName>
    <definedName name="L70x7">#REF!</definedName>
    <definedName name="LA">#REF!</definedName>
    <definedName name="LAB_FORMAN">#REF!</definedName>
    <definedName name="LABOR">#REF!</definedName>
    <definedName name="LABORER">#REF!</definedName>
    <definedName name="Labour">#REF!</definedName>
    <definedName name="LabourOff">#REF!</definedName>
    <definedName name="LabourOn">#REF!</definedName>
    <definedName name="lale" hidden="1">{#N/A,#N/A,FALSE,"Aging Summary";#N/A,#N/A,FALSE,"Ratio Analysis";#N/A,#N/A,FALSE,"Test 120 Day Accts";#N/A,#N/A,FALSE,"Tickmarks"}</definedName>
    <definedName name="LambdaBA">#REF!</definedName>
    <definedName name="LambdaBAmax">#REF!</definedName>
    <definedName name="lambdabamaxtwo">#REF!</definedName>
    <definedName name="LambdaBAtwo">#REF!</definedName>
    <definedName name="lambdaHdes">#REF!</definedName>
    <definedName name="lambdaHdestwo">#REF!</definedName>
    <definedName name="lambdahseal">#REF!</definedName>
    <definedName name="lambdahstab">#REF!</definedName>
    <definedName name="lambdaHweep">#REF!</definedName>
    <definedName name="Lan">#REF!</definedName>
    <definedName name="Language">#REF!</definedName>
    <definedName name="Language_1">"$#ССЫЛ!.$D$7"</definedName>
    <definedName name="Las">770</definedName>
    <definedName name="Last_Row">IF(#REF!,Header_Row+#REF!,Header_Row)</definedName>
    <definedName name="LastRow">#REF!</definedName>
    <definedName name="LB">#REF!</definedName>
    <definedName name="LBMTLC">#REF!</definedName>
    <definedName name="LC">#REF!</definedName>
    <definedName name="LCtoPC">#REF!</definedName>
    <definedName name="Ldcb">#REF!</definedName>
    <definedName name="Ldcbtwo">#REF!</definedName>
    <definedName name="LeaseRateCar">#REF!</definedName>
    <definedName name="LeaseRatePickUp">#REF!</definedName>
    <definedName name="LeaseRateTruck">#REF!</definedName>
    <definedName name="LEE" hidden="1">{#N/A,#N/A,TRUE,"Basic";#N/A,#N/A,TRUE,"EXT-TABLE";#N/A,#N/A,TRUE,"STEEL";#N/A,#N/A,TRUE,"INT-Table";#N/A,#N/A,TRUE,"STEEL";#N/A,#N/A,TRUE,"Door"}</definedName>
    <definedName name="LETTER">#REF!</definedName>
    <definedName name="level" hidden="1">{#N/A,#N/A,TRUE,"Cover";#N/A,#N/A,TRUE,"Conts";#N/A,#N/A,TRUE,"VOS";#N/A,#N/A,TRUE,"Warrington";#N/A,#N/A,TRUE,"Widnes"}</definedName>
    <definedName name="LEVEL_2_1_HEXENE_PG.1">#REF!</definedName>
    <definedName name="LEVEL_2_1_HEXENE_PG.2">#REF!</definedName>
    <definedName name="LEVEL_2_1_HEXENE_PG.3">#REF!</definedName>
    <definedName name="LEVEL_2_1_HEXENE_PG.4">#REF!</definedName>
    <definedName name="LEVEL_2_1_HEXENE_PG_5">#REF!</definedName>
    <definedName name="LEVEL_2_DOCK_PG.1">#REF!</definedName>
    <definedName name="LEVEL_2_DOCK_PG.2">#REF!</definedName>
    <definedName name="LEVEL_2_DOCK_PG.3">#REF!</definedName>
    <definedName name="LEVEL_2_DOCK_PG.4">#REF!</definedName>
    <definedName name="LEVEL_2_DOCK_PG_5">#REF!</definedName>
    <definedName name="LEVEL_2_ETHYLENE_PG.1">#REF!</definedName>
    <definedName name="LEVEL_2_ETHYLENE_PG.2">#REF!</definedName>
    <definedName name="LEVEL_2_ETHYLENE_PG.3">#REF!</definedName>
    <definedName name="LEVEL_2_ETHYLENE_PG.4">#REF!</definedName>
    <definedName name="LEVEL_2_ETHYLENE_PG_5">#REF!</definedName>
    <definedName name="LEVEL_2_OFFSITES_PG.1">#REF!</definedName>
    <definedName name="LEVEL_2_OFFSITES_PG.2">#REF!</definedName>
    <definedName name="LEVEL_2_OFFSITES_PG.3">#REF!</definedName>
    <definedName name="LEVEL_2_OFFSITES_PG.4">#REF!</definedName>
    <definedName name="LEVEL_2_OFFSITES_PG_5">#REF!</definedName>
    <definedName name="LEVEL_2_POLYETHYLENE_PG.1">#REF!</definedName>
    <definedName name="LEVEL_2_POLYETHYLENE_PG.2">#REF!</definedName>
    <definedName name="LEVEL_2_POLYETHYLENE_PG.3">#REF!</definedName>
    <definedName name="LEVEL_2_POLYETHYLENE_PG.4">#REF!</definedName>
    <definedName name="LEVEL_2_POLYETHYLENE_PG_5">#REF!</definedName>
    <definedName name="LEVEL_3_1_HEXENE_EQUIP_PG_1">#REF!</definedName>
    <definedName name="LEVEL_3_1_HEXENE_EQUIP_PG_2">#REF!</definedName>
    <definedName name="LEVEL_3_1_HEXENE_EQUIP_PG_3">#REF!</definedName>
    <definedName name="LEVEL_3_DOCK_EQUIP_PG_1">#REF!</definedName>
    <definedName name="LEVEL_3_DOCK_EQUIP_PG_2">#REF!</definedName>
    <definedName name="LEVEL_3_DOCK_EQUIP_PG_3">#REF!</definedName>
    <definedName name="LEVEL_3_ETHYLENE_EQUIP_PG_1">#REF!</definedName>
    <definedName name="LEVEL_3_ETHYLENE_EQUIP_PG_2">#REF!</definedName>
    <definedName name="LEVEL_3_ETHYLENE_EQUIP_PG_3">#REF!</definedName>
    <definedName name="LEVEL_3_OFFSITES_EQUIP_PG_1">#REF!</definedName>
    <definedName name="LEVEL_3_OFFSITES_EQUIP_PG_2">#REF!</definedName>
    <definedName name="LEVEL_3_OFFSITES_EQUIP_PG_3">#REF!</definedName>
    <definedName name="LEVEL_3_POLYETHYLENE_EQUIP_PG_1">#REF!</definedName>
    <definedName name="LEVEL_3_POLYETHYLENE_EQUIP_PG_2">#REF!</definedName>
    <definedName name="LEVEL_3_POLYETHYLENE_EQUIP_PG_3">#REF!</definedName>
    <definedName name="level_4">#REF!</definedName>
    <definedName name="level3" hidden="1">{#N/A,#N/A,TRUE,"Cover";#N/A,#N/A,TRUE,"Conts";#N/A,#N/A,TRUE,"VOS";#N/A,#N/A,TRUE,"Warrington";#N/A,#N/A,TRUE,"Widnes"}</definedName>
    <definedName name="LEVEL4">#REF!</definedName>
    <definedName name="Lfp">#REF!</definedName>
    <definedName name="Lfptwo">#REF!</definedName>
    <definedName name="LGF">#REF!</definedName>
    <definedName name="LIBOR">#REF!</definedName>
    <definedName name="light_crude_bbl">#REF!</definedName>
    <definedName name="Light_Excise">NA()</definedName>
    <definedName name="Light_Excise_1">"$#ССЫЛ!.$E$435:$E$455"</definedName>
    <definedName name="limcount" hidden="1">1</definedName>
    <definedName name="line">#REF!</definedName>
    <definedName name="Liquid_Criteria_Max_vel_A1">#REF!</definedName>
    <definedName name="Liquid_DP_Criteria_A1">#REF!</definedName>
    <definedName name="liquid_level">NA()</definedName>
    <definedName name="liquid_level_1">NA()</definedName>
    <definedName name="Liquid2">#REF!</definedName>
    <definedName name="list" hidden="1">{#N/A,#N/A,TRUE,"Basic";#N/A,#N/A,TRUE,"EXT-TABLE";#N/A,#N/A,TRUE,"STEEL";#N/A,#N/A,TRUE,"INT-Table";#N/A,#N/A,TRUE,"STEEL";#N/A,#N/A,TRUE,"Door"}</definedName>
    <definedName name="list_1" hidden="1">{#N/A,#N/A,TRUE,"Basic";#N/A,#N/A,TRUE,"EXT-TABLE";#N/A,#N/A,TRUE,"STEEL";#N/A,#N/A,TRUE,"INT-Table";#N/A,#N/A,TRUE,"STEEL";#N/A,#N/A,TRUE,"Door"}</definedName>
    <definedName name="list_oil_2004">#REF!</definedName>
    <definedName name="list_oil_2005">#REF!</definedName>
    <definedName name="list01" hidden="1">{#N/A,#N/A,TRUE,"Basic";#N/A,#N/A,TRUE,"EXT-TABLE";#N/A,#N/A,TRUE,"STEEL";#N/A,#N/A,TRUE,"INT-Table";#N/A,#N/A,TRUE,"STEEL";#N/A,#N/A,TRUE,"Door"}</definedName>
    <definedName name="list01_1" hidden="1">{#N/A,#N/A,TRUE,"Basic";#N/A,#N/A,TRUE,"EXT-TABLE";#N/A,#N/A,TRUE,"STEEL";#N/A,#N/A,TRUE,"INT-Table";#N/A,#N/A,TRUE,"STEEL";#N/A,#N/A,TRUE,"Door"}</definedName>
    <definedName name="list02" hidden="1">{#N/A,#N/A,TRUE,"Basic";#N/A,#N/A,TRUE,"EXT-TABLE";#N/A,#N/A,TRUE,"STEEL";#N/A,#N/A,TRUE,"INT-Table";#N/A,#N/A,TRUE,"STEEL";#N/A,#N/A,TRUE,"Door"}</definedName>
    <definedName name="list02_1" hidden="1">{#N/A,#N/A,TRUE,"Basic";#N/A,#N/A,TRUE,"EXT-TABLE";#N/A,#N/A,TRUE,"STEEL";#N/A,#N/A,TRUE,"INT-Table";#N/A,#N/A,TRUE,"STEEL";#N/A,#N/A,TRUE,"Door"}</definedName>
    <definedName name="ListBox13_Change" localSheetId="0">#REF!</definedName>
    <definedName name="ListBox13_Change" localSheetId="2">#REF!</definedName>
    <definedName name="ListBox13_Change" localSheetId="1">#REF!</definedName>
    <definedName name="ListBox13_Change">#REF!</definedName>
    <definedName name="ListBU">#REF!</definedName>
    <definedName name="ListContingencies">#REF!</definedName>
    <definedName name="ListContractTypes1">#REF!</definedName>
    <definedName name="ListContractTypes2">#REF!</definedName>
    <definedName name="ListCurrencies">#REF!</definedName>
    <definedName name="liste">#REF!</definedName>
    <definedName name="liste1">#REF!</definedName>
    <definedName name="liste11">#REF!</definedName>
    <definedName name="liste2">#REF!</definedName>
    <definedName name="liste21">#REF!</definedName>
    <definedName name="liste3">#REF!</definedName>
    <definedName name="liste31">#REF!</definedName>
    <definedName name="liste4">#REF!</definedName>
    <definedName name="liste41">#REF!</definedName>
    <definedName name="ListJVScope">#REF!</definedName>
    <definedName name="ListOffset" hidden="1">1</definedName>
    <definedName name="ListOnOffShore">#REF!</definedName>
    <definedName name="ListPhases">#REF!</definedName>
    <definedName name="ListProjectCurrencies">#REF!</definedName>
    <definedName name="ListProjectCurrenciesOnShoreLong">#REF!</definedName>
    <definedName name="ListProjectSU">#REF!</definedName>
    <definedName name="ListScope">#REF!</definedName>
    <definedName name="ListWBS">#REF!</definedName>
    <definedName name="LIT">#REF!</definedName>
    <definedName name="liuk" hidden="1">#REF!</definedName>
    <definedName name="LIV">#REF!</definedName>
    <definedName name="l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LK_1" hidden="1">{#N/A,#N/A,FALSE,"CCTV"}</definedName>
    <definedName name="lkı" hidden="1">{#N/A,#N/A,FALSE,"ihz. icmal";#N/A,#N/A,FALSE,"avans";#N/A,#N/A,FALSE,"mal_FF_icm";#N/A,#N/A,FALSE,"fat_ihz";#N/A,#N/A,FALSE,"söz_fiy_fark";#N/A,#N/A,FALSE,"kap2"}</definedName>
    <definedName name="lkj" hidden="1">{#N/A,#N/A,FALSE,"Aging Summary";#N/A,#N/A,FALSE,"Ratio Analysis";#N/A,#N/A,FALSE,"Test 120 Day Accts";#N/A,#N/A,FALSE,"Tickmarks"}</definedName>
    <definedName name="lkjlklkjlkjlkj" hidden="1">{"page1",#N/A,TRUE,"CSC";"page2",#N/A,TRUE,"CSC"}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hlkjl" hidden="1">{#N/A,#N/A,FALSE,"CCTV"}</definedName>
    <definedName name="LL" hidden="1">{#N/A,#N/A,FALSE,"CCTV"}</definedName>
    <definedName name="llklkl" hidden="1">{#N/A,#N/A,FALSE,"HO Sum";#N/A,#N/A,FALSE,"HO Rates";#N/A,#N/A,FALSE,"Co Sum";#N/A,#N/A,FALSE,"Clients Office";#N/A,#N/A,FALSE,"Field Sum";#N/A,#N/A,FALSE,"Field Rates"}</definedName>
    <definedName name="lll" hidden="1">{"План продаж",#N/A,FALSE,"товар"}</definedName>
    <definedName name="LLLL" hidden="1">{#N/A,#N/A,FALSE,"CCTV"}</definedName>
    <definedName name="LLLL_1" hidden="1">{#N/A,#N/A,FALSE,"CCTV"}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LLLLLLLL" hidden="1">{#N/A,#N/A,FALSE,"Ejector 1";#N/A,#N/A,FALSE,"Ejector 2"}</definedName>
    <definedName name="Lmax1">#REF!</definedName>
    <definedName name="Lmax2">#REF!</definedName>
    <definedName name="Lmax3">#REF!</definedName>
    <definedName name="LNTG_2">#REF!</definedName>
    <definedName name="LO" hidden="1">{#N/A,#N/A,TRUE,"Basic";#N/A,#N/A,TRUE,"EXT-TABLE";#N/A,#N/A,TRUE,"STEEL";#N/A,#N/A,TRUE,"INT-Table";#N/A,#N/A,TRUE,"STEEL";#N/A,#N/A,TRUE,"Door"}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tion">#REF!</definedName>
    <definedName name="LOJ">#REF!</definedName>
    <definedName name="LookUp_Range">#REF!</definedName>
    <definedName name="Loopbeschreibung">#REF!</definedName>
    <definedName name="LOrates">#REF!</definedName>
    <definedName name="LossOfRefrigerant">#REF!</definedName>
    <definedName name="LOW_NTG">#REF!</definedName>
    <definedName name="LOW_PORO">#REF!</definedName>
    <definedName name="LOW_SW">#REF!</definedName>
    <definedName name="LowOctane_Excise">NA()</definedName>
    <definedName name="LowOctane_Excise_1">"$#ССЫЛ!.$E$519:$E$539"</definedName>
    <definedName name="LowOctaneDemandGrowth">NA()</definedName>
    <definedName name="LowOctaneDemandGrowth_1">"$#ССЫЛ!.$E$320:$E$340"</definedName>
    <definedName name="Ltybc1" hidden="1">{#N/A,#N/A,FALSE,"Закрытые кредиты"}</definedName>
    <definedName name="lugoljgb.ikf" hidden="1">{#N/A,#N/A,FALSE,"HO Sum";#N/A,#N/A,FALSE,"HO Rates";#N/A,#N/A,FALSE,"Co Sum";#N/A,#N/A,FALSE,"Clients Office";#N/A,#N/A,FALSE,"Field Sum";#N/A,#N/A,FALSE,"Field Rates"}</definedName>
    <definedName name="LumpSum" hidden="1">#REF!</definedName>
    <definedName name="Lw">#REF!</definedName>
    <definedName name="Lwtwo">#REF!</definedName>
    <definedName name="Lzyl1">#REF!</definedName>
    <definedName name="Lzyl2">#REF!</definedName>
    <definedName name="Lzyl3">#REF!</definedName>
    <definedName name="m" localSheetId="0">#REF!</definedName>
    <definedName name="m" localSheetId="2">#REF!</definedName>
    <definedName name="m" localSheetId="1">#REF!</definedName>
    <definedName name="m">#REF!</definedName>
    <definedName name="M_2.02">#REF!</definedName>
    <definedName name="m_2.04">#REF!</definedName>
    <definedName name="M_2.05">#REF!</definedName>
    <definedName name="m_2.06">#REF!</definedName>
    <definedName name="M_2.07">#REF!</definedName>
    <definedName name="M_2.08">#REF!</definedName>
    <definedName name="M_2.09">#REF!</definedName>
    <definedName name="M_2.10">#REF!</definedName>
    <definedName name="M_2.11">#REF!</definedName>
    <definedName name="M_2.12">#REF!</definedName>
    <definedName name="M_2.13">#REF!</definedName>
    <definedName name="M_2.14">#REF!</definedName>
    <definedName name="m_ID" hidden="1">#REF!</definedName>
    <definedName name="M_Kaluga_D_2004">"$#ССЫЛ!.$H$38"</definedName>
    <definedName name="M_Kaluga_D_2004_1">"$#ССЫЛ!.$H$38"</definedName>
    <definedName name="M_Kaluga_D_2008">"$#ССЫЛ!.$L$38"</definedName>
    <definedName name="M_Kaluga_D_2008_1">"$#ССЫЛ!.$L$38"</definedName>
    <definedName name="M_Kaluga_HO_2004">"$#ССЫЛ!.$F$38"</definedName>
    <definedName name="M_Kaluga_HO_2004_1">"$#ССЫЛ!.$F$38"</definedName>
    <definedName name="M_Kaluga_HO_2008">"$#ССЫЛ!.$J$38"</definedName>
    <definedName name="M_Kaluga_HO_2008_1">"$#ССЫЛ!.$J$38"</definedName>
    <definedName name="M_Kaluga_LO_2004">"$#ССЫЛ!.$G$38"</definedName>
    <definedName name="M_Kaluga_LO_2004_1">"$#ССЫЛ!.$G$38"</definedName>
    <definedName name="M_Kaluga_LO_2008">"$#ССЫЛ!.$K$38"</definedName>
    <definedName name="M_Kaluga_LO_2008_1">"$#ССЫЛ!.$K$38"</definedName>
    <definedName name="M_Karelia_D_2004">"$#ССЫЛ!.$H$39"</definedName>
    <definedName name="M_Karelia_D_2004_1">"$#ССЫЛ!.$H$39"</definedName>
    <definedName name="M_Karelia_D_2008">"$#ССЫЛ!.$L$39"</definedName>
    <definedName name="M_Karelia_D_2008_1">"$#ССЫЛ!.$L$39"</definedName>
    <definedName name="M_Karelia_HO_2004">"$#ССЫЛ!.$F$39"</definedName>
    <definedName name="M_Karelia_HO_2004_1">"$#ССЫЛ!.$F$39"</definedName>
    <definedName name="M_Karelia_HO_2008">"$#ССЫЛ!.$J$39"</definedName>
    <definedName name="M_Karelia_HO_2008_1">"$#ССЫЛ!.$J$39"</definedName>
    <definedName name="M_Karelia_LO_2004">"$#ССЫЛ!.$G$39"</definedName>
    <definedName name="M_Karelia_LO_2004_1">"$#ССЫЛ!.$G$39"</definedName>
    <definedName name="M_Karelia_LO_2008">"$#ССЫЛ!.$K$39"</definedName>
    <definedName name="M_Karelia_LO_2008_1">"$#ССЫЛ!.$K$39"</definedName>
    <definedName name="M_Krasnodar_D_2008">"$#ССЫЛ!.$L$51"</definedName>
    <definedName name="M_Krasnodar_D_2008_1">"$#ССЫЛ!.$L$51"</definedName>
    <definedName name="M_Krasnodar_HO_2008">"$#ССЫЛ!.$J$51"</definedName>
    <definedName name="M_Krasnodar_HO_2008_1">"$#ССЫЛ!.$J$51"</definedName>
    <definedName name="M_Krasnodar_LO_2008">"$#ССЫЛ!.$K$51"</definedName>
    <definedName name="M_Krasnodar_LO_2008_1">"$#ССЫЛ!.$K$51"</definedName>
    <definedName name="M_Kursk_D_2004">"$#ССЫЛ!.$H$40"</definedName>
    <definedName name="M_Kursk_D_2004_1">"$#ССЫЛ!.$H$40"</definedName>
    <definedName name="M_Kursk_D_2008">"$#ССЫЛ!.$L$40"</definedName>
    <definedName name="M_Kursk_D_2008_1">"$#ССЫЛ!.$L$40"</definedName>
    <definedName name="M_Kursk_HO_2004">"$#ССЫЛ!.$F$40"</definedName>
    <definedName name="M_Kursk_HO_2004_1">"$#ССЫЛ!.$F$40"</definedName>
    <definedName name="M_Kursk_HO_2008">"$#ССЫЛ!.$J$40"</definedName>
    <definedName name="M_Kursk_HO_2008_1">"$#ССЫЛ!.$J$40"</definedName>
    <definedName name="M_Kursk_LO_2004">"$#ССЫЛ!.$G$40"</definedName>
    <definedName name="M_Kursk_LO_2004_1">"$#ССЫЛ!.$G$40"</definedName>
    <definedName name="M_Kursk_LO_2008">"$#ССЫЛ!.$K$40"</definedName>
    <definedName name="M_Kursk_LO_2008_1">"$#ССЫЛ!.$K$40"</definedName>
    <definedName name="M_Megapolis_D_2004">"$#ССЫЛ!.$H$48"</definedName>
    <definedName name="M_Megapolis_D_2004_1">"$#ССЫЛ!.$H$48"</definedName>
    <definedName name="M_Megapolis_D_2008">"$#ССЫЛ!.$L$48"</definedName>
    <definedName name="M_Megapolis_D_2008_1">"$#ССЫЛ!.$L$48"</definedName>
    <definedName name="M_Megapolis_HO_2004">"$#ССЫЛ!.$F$48"</definedName>
    <definedName name="M_Megapolis_HO_2004_1">"$#ССЫЛ!.$F$48"</definedName>
    <definedName name="M_Megapolis_HO_2008">"$#ССЫЛ!.$J$48"</definedName>
    <definedName name="M_Megapolis_HO_2008_1">"$#ССЫЛ!.$J$48"</definedName>
    <definedName name="M_Megapolis_LO_2004">"$#ССЫЛ!.$G$48"</definedName>
    <definedName name="M_Megapolis_LO_2004_1">"$#ССЫЛ!.$G$48"</definedName>
    <definedName name="M_Megapolis_LO_2008">"$#ССЫЛ!.$K$48"</definedName>
    <definedName name="M_Megapolis_LO_2008_1">"$#ССЫЛ!.$K$48"</definedName>
    <definedName name="M_Orenburg_D_2004">"$#ССЫЛ!.$H$41"</definedName>
    <definedName name="M_Orenburg_D_2004_1">"$#ССЫЛ!.$H$41"</definedName>
    <definedName name="M_Orenburg_D_2008">"$#ССЫЛ!.$L$41"</definedName>
    <definedName name="M_Orenburg_D_2008_1">"$#ССЫЛ!.$L$41"</definedName>
    <definedName name="M_Orenburg_HO_2004">"$#ССЫЛ!.$F$41"</definedName>
    <definedName name="M_Orenburg_HO_2004_1">"$#ССЫЛ!.$F$41"</definedName>
    <definedName name="M_Orenburg_HO_2008">"$#ССЫЛ!.$J$41"</definedName>
    <definedName name="M_Orenburg_HO_2008_1">"$#ССЫЛ!.$J$41"</definedName>
    <definedName name="M_Orenburg_LO_2004">"$#ССЫЛ!.$G$41"</definedName>
    <definedName name="M_Orenburg_LO_2004_1">"$#ССЫЛ!.$G$41"</definedName>
    <definedName name="M_Orenburg_LO_2008">"$#ССЫЛ!.$K$41"</definedName>
    <definedName name="M_Orenburg_LO_2008_1">"$#ССЫЛ!.$K$41"</definedName>
    <definedName name="m_PERIOD_NAME" hidden="1">#REF!</definedName>
    <definedName name="M_PetrolComplex_D_2004">"$#ССЫЛ!.$H$50"</definedName>
    <definedName name="M_PetrolComplex_D_2004_1">"$#ССЫЛ!.$H$50"</definedName>
    <definedName name="M_PetrolComplex_D_2008">"$#ССЫЛ!.$L$50"</definedName>
    <definedName name="M_PetrolComplex_D_2008_1">"$#ССЫЛ!.$L$50"</definedName>
    <definedName name="M_PetrolComplex_HO_2004">"$#ССЫЛ!.$F$50"</definedName>
    <definedName name="M_PetrolComplex_HO_2004_1">"$#ССЫЛ!.$F$50"</definedName>
    <definedName name="M_PetrolComplex_HO_2008">"$#ССЫЛ!.$J$50"</definedName>
    <definedName name="M_PetrolComplex_HO_2008_1">"$#ССЫЛ!.$J$50"</definedName>
    <definedName name="M_PetrolComplex_LO_2004">"$#ССЫЛ!.$G$50"</definedName>
    <definedName name="M_PetrolComplex_LO_2004_1">"$#ССЫЛ!.$G$50"</definedName>
    <definedName name="M_PetrolComplex_LO_2008">"$#ССЫЛ!.$K$50"</definedName>
    <definedName name="M_PetrolComplex_LO_2008_1">"$#ССЫЛ!.$K$50"</definedName>
    <definedName name="M_RevList">#REF!</definedName>
    <definedName name="M_RevRank">#REF!</definedName>
    <definedName name="M_Rostov_D_2004">"$#ССЫЛ!.$H$46"</definedName>
    <definedName name="M_Rostov_D_2004_1">"$#ССЫЛ!.$H$46"</definedName>
    <definedName name="M_Rostov_D_2008">"$#ССЫЛ!.$L$46"</definedName>
    <definedName name="M_Rostov_D_2008_1">"$#ССЫЛ!.$L$46"</definedName>
    <definedName name="M_Rostov_HO_2004">"$#ССЫЛ!.$F$46"</definedName>
    <definedName name="M_Rostov_HO_2004_1">"$#ССЫЛ!.$F$46"</definedName>
    <definedName name="M_Rostov_HO_2008">"$#ССЫЛ!.$J$46"</definedName>
    <definedName name="M_Rostov_HO_2008_1">"$#ССЫЛ!.$J$46"</definedName>
    <definedName name="M_Rostov_LO_2004">"$#ССЫЛ!.$G$46"</definedName>
    <definedName name="M_Rostov_LO_2004_1">"$#ССЫЛ!.$G$46"</definedName>
    <definedName name="M_Rostov_LO_2008">"$#ССЫЛ!.$K$46"</definedName>
    <definedName name="M_Rostov_LO_2008_1">"$#ССЫЛ!.$K$46"</definedName>
    <definedName name="M_Ryazan_D_2004">"$#ССЫЛ!.$H$42"</definedName>
    <definedName name="M_Ryazan_D_2004_1">"$#ССЫЛ!.$H$42"</definedName>
    <definedName name="M_Ryazan_D_2008">"$#ССЫЛ!.$L$42"</definedName>
    <definedName name="M_Ryazan_D_2008_1">"$#ССЫЛ!.$L$42"</definedName>
    <definedName name="M_Ryazan_HO_2004">"$#ССЫЛ!.$F$42"</definedName>
    <definedName name="M_Ryazan_HO_2004_1">"$#ССЫЛ!.$F$42"</definedName>
    <definedName name="M_Ryazan_HO_2008">"$#ССЫЛ!.$J$42"</definedName>
    <definedName name="M_Ryazan_HO_2008_1">"$#ССЫЛ!.$J$42"</definedName>
    <definedName name="M_Ryazan_LO_2004">"$#ССЫЛ!.$G$42"</definedName>
    <definedName name="M_Ryazan_LO_2004_1">"$#ССЫЛ!.$G$42"</definedName>
    <definedName name="M_Ryazan_LO_2008">"$#ССЫЛ!.$K$42"</definedName>
    <definedName name="M_Ryazan_LO_2008_1">"$#ССЫЛ!.$K$42"</definedName>
    <definedName name="M_Saratov_D_2004">"$#ССЫЛ!.$H$47"</definedName>
    <definedName name="M_Saratov_D_2004_1">"$#ССЫЛ!.$H$47"</definedName>
    <definedName name="M_Saratov_D_2008">"$#ССЫЛ!.$L$47"</definedName>
    <definedName name="M_Saratov_D_2008_1">"$#ССЫЛ!.$L$47"</definedName>
    <definedName name="M_Saratov_HO_2004">"$#ССЫЛ!.$F$47"</definedName>
    <definedName name="M_Saratov_HO_2004_1">"$#ССЫЛ!.$F$47"</definedName>
    <definedName name="M_Saratov_HO_2008">"$#ССЫЛ!.$J$47"</definedName>
    <definedName name="M_Saratov_HO_2008_1">"$#ССЫЛ!.$J$47"</definedName>
    <definedName name="M_Saratov_LO_2004">"$#ССЫЛ!.$G$47"</definedName>
    <definedName name="M_Saratov_LO_2004_1">"$#ССЫЛ!.$G$47"</definedName>
    <definedName name="M_Saratov_LO_2008">"$#ССЫЛ!.$K$47"</definedName>
    <definedName name="M_Saratov_LO_2008_1">"$#ССЫЛ!.$K$47"</definedName>
    <definedName name="M_StPetersburgBP_D_2008">"$#ССЫЛ!.$L$53"</definedName>
    <definedName name="M_StPetersburgBP_D_2008_1">"$#ССЫЛ!.$L$53"</definedName>
    <definedName name="M_StPetersburgBP_HO_2008">"$#ССЫЛ!.$J$53"</definedName>
    <definedName name="M_StPetersburgBP_HO_2008_1">"$#ССЫЛ!.$J$53"</definedName>
    <definedName name="M_StPetersburgBP_LO_2008">"$#ССЫЛ!.$K$53"</definedName>
    <definedName name="M_StPetersburgBP_LO_2008_1">"$#ССЫЛ!.$K$53"</definedName>
    <definedName name="M_StPetersburgTNK_D_2008">"$#ССЫЛ!.$L$52"</definedName>
    <definedName name="M_StPetersburgTNK_D_2008_1">"$#ССЫЛ!.$L$52"</definedName>
    <definedName name="M_StPetersburgTNK_HO_2008">"$#ССЫЛ!.$J$52"</definedName>
    <definedName name="M_StPetersburgTNK_HO_2008_1">"$#ССЫЛ!.$J$52"</definedName>
    <definedName name="M_StPetersburgTNK_LO_2008">"$#ССЫЛ!.$K$52"</definedName>
    <definedName name="M_StPetersburgTNK_LO_2008_1">"$#ССЫЛ!.$K$52"</definedName>
    <definedName name="M_TNKStolitsa_D_2004">"$#ССЫЛ!.$H$49"</definedName>
    <definedName name="M_TNKStolitsa_D_2004_1">"$#ССЫЛ!.$H$49"</definedName>
    <definedName name="M_TNKStolitsa_D_2008">"$#ССЫЛ!.$L$49"</definedName>
    <definedName name="M_TNKStolitsa_D_2008_1">"$#ССЫЛ!.$L$49"</definedName>
    <definedName name="M_TNKStolitsa_HO_2004">"$#ССЫЛ!.$F$49"</definedName>
    <definedName name="M_TNKStolitsa_HO_2004_1">"$#ССЫЛ!.$F$49"</definedName>
    <definedName name="M_TNKStolitsa_HO_2008">"$#ССЫЛ!.$J$49"</definedName>
    <definedName name="M_TNKStolitsa_HO_2008_1">"$#ССЫЛ!.$J$49"</definedName>
    <definedName name="M_TNKStolitsa_LO_2004">"$#ССЫЛ!.$G$49"</definedName>
    <definedName name="M_TNKStolitsa_LO_2004_1">"$#ССЫЛ!.$G$49"</definedName>
    <definedName name="M_TNKStolitsa_LO_2008">"$#ССЫЛ!.$K$49"</definedName>
    <definedName name="M_TNKStolitsa_LO_2008_1">"$#ССЫЛ!.$K$49"</definedName>
    <definedName name="M_Tula_D_2004">"$#ССЫЛ!.$H$43"</definedName>
    <definedName name="M_Tula_D_2004_1">"$#ССЫЛ!.$H$43"</definedName>
    <definedName name="M_Tula_D_2008">"$#ССЫЛ!.$L$43"</definedName>
    <definedName name="M_Tula_D_2008_1">"$#ССЫЛ!.$L$43"</definedName>
    <definedName name="M_Tula_HO_2004">"$#ССЫЛ!.$F$43"</definedName>
    <definedName name="M_Tula_HO_2004_1">"$#ССЫЛ!.$F$43"</definedName>
    <definedName name="M_Tula_HO_2008">"$#ССЫЛ!.$J$43"</definedName>
    <definedName name="M_Tula_HO_2008_1">"$#ССЫЛ!.$J$43"</definedName>
    <definedName name="M_Tula_LO_2004">"$#ССЫЛ!.$G$43"</definedName>
    <definedName name="M_Tula_LO_2004_1">"$#ССЫЛ!.$G$43"</definedName>
    <definedName name="M_Tula_LO_2008">"$#ССЫЛ!.$K$43"</definedName>
    <definedName name="M_Tula_LO_2008_1">"$#ССЫЛ!.$K$43"</definedName>
    <definedName name="M_UNK_D_2004">"$#ССЫЛ!.$H$45"</definedName>
    <definedName name="M_UNK_D_2004_1">"$#ССЫЛ!.$H$45"</definedName>
    <definedName name="M_UNK_D_2008">"$#ССЫЛ!.$L$45"</definedName>
    <definedName name="M_UNK_D_2008_1">"$#ССЫЛ!.$L$45"</definedName>
    <definedName name="M_UNK_HO_2004">"$#ССЫЛ!.$F$45"</definedName>
    <definedName name="M_UNK_HO_2004_1">"$#ССЫЛ!.$F$45"</definedName>
    <definedName name="M_UNK_HO_2008">"$#ССЫЛ!.$J$45"</definedName>
    <definedName name="M_UNK_HO_2008_1">"$#ССЫЛ!.$J$45"</definedName>
    <definedName name="M_UNK_LO_2004">"$#ССЫЛ!.$G$45"</definedName>
    <definedName name="M_UNK_LO_2004_1">"$#ССЫЛ!.$G$45"</definedName>
    <definedName name="M_UNK_LO_2008">"$#ССЫЛ!.$K$45"</definedName>
    <definedName name="M_UNK_LO_2008_1">"$#ССЫЛ!.$K$45"</definedName>
    <definedName name="M_ZapSib_D_2004">"$#ССЫЛ!.$H$44"</definedName>
    <definedName name="M_ZapSib_D_2004_1">"$#ССЫЛ!.$H$44"</definedName>
    <definedName name="M_ZapSib_D_2008">"$#ССЫЛ!.$L$44"</definedName>
    <definedName name="M_ZapSib_D_2008_1">"$#ССЫЛ!.$L$44"</definedName>
    <definedName name="M_ZapSib_HO_2004">"$#ССЫЛ!.$F$44"</definedName>
    <definedName name="M_ZapSib_HO_2004_1">"$#ССЫЛ!.$F$44"</definedName>
    <definedName name="M_ZapSib_HO_2008">"$#ССЫЛ!.$J$44"</definedName>
    <definedName name="M_ZapSib_HO_2008_1">"$#ССЫЛ!.$J$44"</definedName>
    <definedName name="M_ZapSib_LO_2004">"$#ССЫЛ!.$G$44"</definedName>
    <definedName name="M_ZapSib_LO_2004_1">"$#ССЫЛ!.$G$44"</definedName>
    <definedName name="M_ZapSib_LO_2008">"$#ССЫЛ!.$K$44"</definedName>
    <definedName name="M_ZapSib_LO_2008_1">"$#ССЫЛ!.$K$44"</definedName>
    <definedName name="MA">#REF!</definedName>
    <definedName name="Macro1" localSheetId="0">#REF!</definedName>
    <definedName name="Macro1" localSheetId="2">#REF!</definedName>
    <definedName name="Macro1" localSheetId="1">#REF!</definedName>
    <definedName name="Macro1">#REF!</definedName>
    <definedName name="Macro10">#N/A</definedName>
    <definedName name="Macro11">#N/A</definedName>
    <definedName name="Macro12">#N/A</definedName>
    <definedName name="Macro13">#N/A</definedName>
    <definedName name="Macro14">#N/A</definedName>
    <definedName name="Macro15">#N/A</definedName>
    <definedName name="Macro2">#N/A</definedName>
    <definedName name="Macro24">#N/A</definedName>
    <definedName name="Macro29">#N/A</definedName>
    <definedName name="Macro3">#N/A</definedName>
    <definedName name="Macro30">#N/A</definedName>
    <definedName name="Macro31">#N/A</definedName>
    <definedName name="Macro32">#N/A</definedName>
    <definedName name="Macro33">#N/A</definedName>
    <definedName name="Macro34">#N/A</definedName>
    <definedName name="Macro35">#N/A</definedName>
    <definedName name="Macro36">#N/A</definedName>
    <definedName name="Macro37">#N/A</definedName>
    <definedName name="Macro38">#N/A</definedName>
    <definedName name="Macro39">#N/A</definedName>
    <definedName name="Macro4">#N/A</definedName>
    <definedName name="Macro40">#N/A</definedName>
    <definedName name="Macro5">#N/A</definedName>
    <definedName name="Macro6">#N/A</definedName>
    <definedName name="Macro7">#N/A</definedName>
    <definedName name="Macro8">#N/A</definedName>
    <definedName name="Macro9">#N/A</definedName>
    <definedName name="MadeBy">#REF!</definedName>
    <definedName name="MadebyDate">#REF!</definedName>
    <definedName name="MAJ_CON_EQP">#REF!</definedName>
    <definedName name="ma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.HESAP2" hidden="1">{#N/A,#N/A,FALSE,"ihz. icmal";#N/A,#N/A,FALSE,"avans";#N/A,#N/A,FALSE,"mal_FF_icm";#N/A,#N/A,FALSE,"fat_ihz";#N/A,#N/A,FALSE,"söz_fiy_fark";#N/A,#N/A,FALSE,"kap2"}</definedName>
    <definedName name="MAL.F.F.HESAP3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MAL.F.F3" hidden="1">{#N/A,#N/A,FALSE,"ihz. icmal";#N/A,#N/A,FALSE,"avans";#N/A,#N/A,FALSE,"mal_FF_icm";#N/A,#N/A,FALSE,"fat_ihz";#N/A,#N/A,FALSE,"söz_fiy_fark";#N/A,#N/A,FALSE,"kap2"}</definedName>
    <definedName name="MAL.F.F4" hidden="1">{#N/A,#N/A,FALSE,"ihz. icmal";#N/A,#N/A,FALSE,"avans";#N/A,#N/A,FALSE,"mal_FF_icm";#N/A,#N/A,FALSE,"fat_ihz";#N/A,#N/A,FALSE,"söz_fiy_fark";#N/A,#N/A,FALSE,"kap2"}</definedName>
    <definedName name="MalOperation">#REF!</definedName>
    <definedName name="MALZEME2" hidden="1">#REF!</definedName>
    <definedName name="ManageOff">#REF!</definedName>
    <definedName name="ManageOn">#REF!</definedName>
    <definedName name="Manu_Type">#REF!</definedName>
    <definedName name="Manufacturer">#REF!</definedName>
    <definedName name="ManufCosts" hidden="1">{#N/A,#N/A,TRUE,"Содержание";#N/A,#N/A,TRUE,"Выработка";#N/A,#N/A,TRUE,"Расход"}</definedName>
    <definedName name="mark" hidden="1">#REF!</definedName>
    <definedName name="Mark_Up_s">#REF!</definedName>
    <definedName name="Mark_Ups">#REF!</definedName>
    <definedName name="Mark_Ups_CT2">#REF!</definedName>
    <definedName name="Market">#REF!</definedName>
    <definedName name="Mass_Flash">#REF!</definedName>
    <definedName name="MasterApprovedBy">#REF!</definedName>
    <definedName name="MasterApprovedByDate">#REF!</definedName>
    <definedName name="MasterBookPageNo">#REF!</definedName>
    <definedName name="MasterCheckedBy">#REF!</definedName>
    <definedName name="MasterCheckedByDate">#REF!</definedName>
    <definedName name="MasterConsignee">#REF!</definedName>
    <definedName name="MasterContractorJobNo">#REF!</definedName>
    <definedName name="MasterDate1">#REF!</definedName>
    <definedName name="MasterDate2">#REF!</definedName>
    <definedName name="MasterDate3">#REF!</definedName>
    <definedName name="MasterDate4">#REF!</definedName>
    <definedName name="MasterDesignBookNo">#REF!</definedName>
    <definedName name="MasterEngineeredBy">#REF!</definedName>
    <definedName name="MasterEquipment">#REF!</definedName>
    <definedName name="MasterEquipmentNo">#REF!</definedName>
    <definedName name="MasterMadeBy">#REF!</definedName>
    <definedName name="MasterMadeByDate">#REF!</definedName>
    <definedName name="MasterMESCNo">#REF!</definedName>
    <definedName name="MasterPlant">#REF!</definedName>
    <definedName name="MasterPrincipal">#REF!</definedName>
    <definedName name="MasterRequisitionNo">#REF!</definedName>
    <definedName name="MasterRev1">#REF!</definedName>
    <definedName name="MasterRev2">#REF!</definedName>
    <definedName name="MasterRev3">#REF!</definedName>
    <definedName name="MasterRev4">#REF!</definedName>
    <definedName name="MasterSign1">#REF!</definedName>
    <definedName name="MasterSign2">#REF!</definedName>
    <definedName name="MasterSign3">#REF!</definedName>
    <definedName name="MasterSign4">#REF!</definedName>
    <definedName name="MAT">#REF!</definedName>
    <definedName name="MAT_COST">#REF!</definedName>
    <definedName name="Mat_GI">#REF!</definedName>
    <definedName name="Mat_Prod">#REF!</definedName>
    <definedName name="Mat_WI">#REF!</definedName>
    <definedName name="MATERIAL">#REF!</definedName>
    <definedName name="Materials">"$#ССЫЛ!.$B$3:$B$28"</definedName>
    <definedName name="Materials_1">"$#ССЫЛ!.$B$3:$B$28"</definedName>
    <definedName name="MATL">#REF!</definedName>
    <definedName name="max">#REF!</definedName>
    <definedName name="MAX_GAS_COST_BOE">#REF!</definedName>
    <definedName name="MAX_V_august">#REF!</definedName>
    <definedName name="MAX_V_december">#REF!</definedName>
    <definedName name="MAX_V_july">#REF!</definedName>
    <definedName name="MAX_V_november">#REF!</definedName>
    <definedName name="MAX_V_october">#REF!</definedName>
    <definedName name="MAX_V_september">#REF!</definedName>
    <definedName name="MaxHeatTransfer">#REF!</definedName>
    <definedName name="MDH">#REF!</definedName>
    <definedName name="Mechanical">#REF!</definedName>
    <definedName name="Medium">#REF!</definedName>
    <definedName name="MEK_GES">#REF!</definedName>
    <definedName name="MENU" localSheetId="0">#REF!</definedName>
    <definedName name="MENU" localSheetId="2">#REF!</definedName>
    <definedName name="MENU" localSheetId="1">#REF!</definedName>
    <definedName name="MENU">#REF!</definedName>
    <definedName name="MENÜ">#REF!</definedName>
    <definedName name="MENU1">#REF!</definedName>
    <definedName name="MEP_pm">#REF!</definedName>
    <definedName name="MESCNo">#REF!</definedName>
    <definedName name="MESSAGE1">#REF!</definedName>
    <definedName name="Method">#REF!</definedName>
    <definedName name="MF">#REF!</definedName>
    <definedName name="MG_A">#REF!</definedName>
    <definedName name="mhr.cost" hidden="1">#REF!</definedName>
    <definedName name="mi_re_end01">#REF!,#REF!</definedName>
    <definedName name="MID_NTG">#REF!</definedName>
    <definedName name="MID_PORO">#REF!</definedName>
    <definedName name="MID_SW">#REF!</definedName>
    <definedName name="MidWeirLoad">#REF!</definedName>
    <definedName name="min">#REF!</definedName>
    <definedName name="MIN_RES">#REF!</definedName>
    <definedName name="MIN_V_august">#REF!</definedName>
    <definedName name="MIN_V_december">#REF!</definedName>
    <definedName name="MIN_V_july">#REF!</definedName>
    <definedName name="MIN_V_november">#REF!</definedName>
    <definedName name="MIN_V_october">#REF!</definedName>
    <definedName name="MIN_V_september">#REF!</definedName>
    <definedName name="mji" hidden="1">#REF!</definedName>
    <definedName name="Ml">#REF!</definedName>
    <definedName name="mm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mm" hidden="1">{#N/A,#N/A,FALSE,"Себестоимсть-97"}</definedName>
    <definedName name="mmmmm" hidden="1">{#N/A,#N/A,FALSE,"CCTV"}</definedName>
    <definedName name="MN" hidden="1">{#N/A,#N/A,FALSE,"CCTV"}</definedName>
    <definedName name="MN_1" hidden="1">{#N/A,#N/A,FALSE,"CCTV"}</definedName>
    <definedName name="MOD_1_90">#REF!</definedName>
    <definedName name="Model1">#REF!</definedName>
    <definedName name="Model2">#REF!</definedName>
    <definedName name="Modes">NA()</definedName>
    <definedName name="Modes_1">"$#ССЫЛ!.$B$2:$B$6"</definedName>
    <definedName name="MODIFCURR">#REF!</definedName>
    <definedName name="Module1.Macro10">#N/A</definedName>
    <definedName name="Module1.Macro11">#N/A</definedName>
    <definedName name="Module1.Macro13">#N/A</definedName>
    <definedName name="Module1.Macro2">#N/A</definedName>
    <definedName name="Module1.Macro3">#N/A</definedName>
    <definedName name="Module1.Macro4">#N/A</definedName>
    <definedName name="Module1.Macro5">#N/A</definedName>
    <definedName name="Module1.Macro7">#N/A</definedName>
    <definedName name="Module1.Macro9">#N/A</definedName>
    <definedName name="Mol">#REF!</definedName>
    <definedName name="mole_wt">#REF!</definedName>
    <definedName name="Momentum_inlet_vapour">#REF!</definedName>
    <definedName name="Momentum_inlet_vapourtwo">#REF!</definedName>
    <definedName name="momo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most">#REF!</definedName>
    <definedName name="motor_power">#REF!</definedName>
    <definedName name="MP" hidden="1">{#N/A,#N/A,FALSE,"CCTV"}</definedName>
    <definedName name="MPI">#REF!</definedName>
    <definedName name="mrn.sve44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mrn.sverka5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Mrsupdet">#REF!</definedName>
    <definedName name="ms_06g">NA()</definedName>
    <definedName name="ms_06g_1">NA()</definedName>
    <definedName name="MSSS" hidden="1">{#N/A,#N/A,TRUE,"Basic";#N/A,#N/A,TRUE,"EXT-TABLE";#N/A,#N/A,TRUE,"STEEL";#N/A,#N/A,TRUE,"INT-Table";#N/A,#N/A,TRUE,"STEEL";#N/A,#N/A,TRUE,"Door"}</definedName>
    <definedName name="MT_PT">#REF!</definedName>
    <definedName name="MTitle">#REF!</definedName>
    <definedName name="MTL">#REF!</definedName>
    <definedName name="mto">#REF!</definedName>
    <definedName name="MTO_TICB">#REF!</definedName>
    <definedName name="MU">#REF!</definedName>
    <definedName name="mu65m" hidden="1">#REF!</definedName>
    <definedName name="Mv">#REF!</definedName>
    <definedName name="MWC">#REF!</definedName>
    <definedName name="MWH">#REF!</definedName>
    <definedName name="MWN">#REF!</definedName>
    <definedName name="MWO">#REF!</definedName>
    <definedName name="MWS">#REF!</definedName>
    <definedName name="MYR">#REF!</definedName>
    <definedName name="myrange">#REF!</definedName>
    <definedName name="n" hidden="1">#REF!</definedName>
    <definedName name="N_AREA">#REF!</definedName>
    <definedName name="N_AREA2">#REF!</definedName>
    <definedName name="N_GASRES">#REF!</definedName>
    <definedName name="N_GASRES2">#REF!</definedName>
    <definedName name="N_THICK">#REF!</definedName>
    <definedName name="N_THICK2">#REF!</definedName>
    <definedName name="N112_">#REF!</definedName>
    <definedName name="N120_">#REF!</definedName>
    <definedName name="N121_">#REF!</definedName>
    <definedName name="N122_">#REF!</definedName>
    <definedName name="N123_">#REF!</definedName>
    <definedName name="N130_">#REF!</definedName>
    <definedName name="N131_">#REF!</definedName>
    <definedName name="N132_">#REF!</definedName>
    <definedName name="N133_">#REF!</definedName>
    <definedName name="N134_">#REF!</definedName>
    <definedName name="N135_">#REF!</definedName>
    <definedName name="N136_">#REF!</definedName>
    <definedName name="N140_">#REF!</definedName>
    <definedName name="N190_">#REF!</definedName>
    <definedName name="N210_">#REF!</definedName>
    <definedName name="N211_">#REF!</definedName>
    <definedName name="N212_">#REF!</definedName>
    <definedName name="N213_">#REF!</definedName>
    <definedName name="N214_">#REF!</definedName>
    <definedName name="N215_">#REF!</definedName>
    <definedName name="N216_">#REF!</definedName>
    <definedName name="N217_">#REF!</definedName>
    <definedName name="N218_">#REF!</definedName>
    <definedName name="N220_">#REF!</definedName>
    <definedName name="N221_">#REF!</definedName>
    <definedName name="N222_">#REF!</definedName>
    <definedName name="N223_">#REF!</definedName>
    <definedName name="N224_">#REF!</definedName>
    <definedName name="N225_">#REF!</definedName>
    <definedName name="N226_">#REF!</definedName>
    <definedName name="N230_">#REF!</definedName>
    <definedName name="N231_">#REF!</definedName>
    <definedName name="N232_">#REF!</definedName>
    <definedName name="N233_">#REF!</definedName>
    <definedName name="N234_">#REF!</definedName>
    <definedName name="N235_">#REF!</definedName>
    <definedName name="N236_">#REF!</definedName>
    <definedName name="N240_">#REF!</definedName>
    <definedName name="N241_">#REF!</definedName>
    <definedName name="N242_">#REF!</definedName>
    <definedName name="N243_">#REF!</definedName>
    <definedName name="N250_">#REF!</definedName>
    <definedName name="N251_">#REF!</definedName>
    <definedName name="N252_">#REF!</definedName>
    <definedName name="N253_">#REF!</definedName>
    <definedName name="N254_">#REF!</definedName>
    <definedName name="N260_">#REF!</definedName>
    <definedName name="N290_">#REF!</definedName>
    <definedName name="N310_">#REF!</definedName>
    <definedName name="N390_">#REF!</definedName>
    <definedName name="N399_">#REF!</definedName>
    <definedName name="N410_">#REF!</definedName>
    <definedName name="N420_">#REF!</definedName>
    <definedName name="N430_">#REF!</definedName>
    <definedName name="N431_">#REF!</definedName>
    <definedName name="N432_">#REF!</definedName>
    <definedName name="N440_">#REF!</definedName>
    <definedName name="N450_">#REF!</definedName>
    <definedName name="N460_">#REF!</definedName>
    <definedName name="N470_">#REF!</definedName>
    <definedName name="N480_">#REF!</definedName>
    <definedName name="N490_">#REF!</definedName>
    <definedName name="n4b45t5gr" hidden="1">#REF!</definedName>
    <definedName name="N510_">#REF!</definedName>
    <definedName name="N511_">#REF!</definedName>
    <definedName name="N512_">#REF!</definedName>
    <definedName name="N513_">#REF!</definedName>
    <definedName name="N590_">#REF!</definedName>
    <definedName name="N610_">#REF!</definedName>
    <definedName name="N611_">#REF!</definedName>
    <definedName name="N612_">#REF!</definedName>
    <definedName name="N620_">#REF!</definedName>
    <definedName name="N621_">#REF!</definedName>
    <definedName name="N622_">#REF!</definedName>
    <definedName name="N623_">#REF!</definedName>
    <definedName name="N624_">#REF!</definedName>
    <definedName name="N625_">#REF!</definedName>
    <definedName name="N626_">#REF!</definedName>
    <definedName name="N627_">#REF!</definedName>
    <definedName name="N628_">#REF!</definedName>
    <definedName name="N630_">#REF!</definedName>
    <definedName name="N640_">#REF!</definedName>
    <definedName name="N650_">#REF!</definedName>
    <definedName name="N660_">#REF!</definedName>
    <definedName name="N670_">#REF!</definedName>
    <definedName name="N690_">#REF!</definedName>
    <definedName name="N699_">#REF!</definedName>
    <definedName name="NA">#REF!</definedName>
    <definedName name="NA_SLAV_TN_Quota">NA()</definedName>
    <definedName name="NA_SLAV_TN_Quota_1">"$#ССЫЛ!.$E$918:$E$938"</definedName>
    <definedName name="NA_TNKBP_TN_QUOTA">NA()</definedName>
    <definedName name="NA_TNKBP_TN_QUOTA_1">"$#ССЫЛ!.$E$834:$E$854"</definedName>
    <definedName name="nakits" hidden="1">#REF!</definedName>
    <definedName name="Name">#REF!</definedName>
    <definedName name="NAME_1" hidden="1">{#N/A,#N/A,FALSE,"CCTV"}</definedName>
    <definedName name="name103" hidden="1">{0,0}</definedName>
    <definedName name="Name3">#REF!</definedName>
    <definedName name="nana" hidden="1">{#N/A,#N/A,TRUE,"COVERSHEET";#N/A,#N/A,TRUE,"LEGEND";#N/A,#N/A,TRUE,"LIST"}</definedName>
    <definedName name="Nb_Page">#REF!</definedName>
    <definedName name="nbv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NDS_02">#REF!,#REF!</definedName>
    <definedName name="NDT">#REF!</definedName>
    <definedName name="Neels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ew" hidden="1">{#N/A,#N/A,FALSE,"ZAP_FEB.XLS "}</definedName>
    <definedName name="new_and_TCC">#REF!</definedName>
    <definedName name="NEWNAME" hidden="1">{#N/A,#N/A,FALSE,"CCTV"}</definedName>
    <definedName name="NEWNAME_1" hidden="1">{#N/A,#N/A,FALSE,"CCTV"}</definedName>
    <definedName name="NEWPRICE" hidden="1">{"Table A,pg 1",#N/A,FALSE,"Table A-Prov GUR";"Table A,pg 2",#N/A,FALSE,"Table A-Prov GUR"}</definedName>
    <definedName name="next">#REF!</definedName>
    <definedName name="NGd11A">#REF!</definedName>
    <definedName name="NGd11B">#REF!</definedName>
    <definedName name="NGd11D">#REF!</definedName>
    <definedName name="nh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nh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NIM_R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NIPI_USD">#REF!</definedName>
    <definedName name="NIT_2">#REF!</definedName>
    <definedName name="NK">6.2918</definedName>
    <definedName name="nkknk" hidden="1">{#N/A,#N/A,FALSE,"CCTV"}</definedName>
    <definedName name="NLP" hidden="1">{"INST_WPE1",#N/A,FALSE,"SUMMARY-INSTS"}</definedName>
    <definedName name="NLP_1" hidden="1">{"INST_WPE1",#N/A,FALSE,"SUMMARY-INSTS"}</definedName>
    <definedName name="nm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nn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NNN" hidden="1">{#N/A,#N/A,FALSE,"Ejector 1";#N/A,#N/A,FALSE,"Ejector 2"}</definedName>
    <definedName name="nNnnn" hidden="1">{#N/A,#N/A,TRUE,"Лист1";#N/A,#N/A,TRUE,"Лист2";#N/A,#N/A,TRUE,"Лист3"}</definedName>
    <definedName name="nnnnnnnn" hidden="1">#REF!</definedName>
    <definedName name="nnnnnnnnnn" localSheetId="0" hidden="1">Main.SAPF4Help()</definedName>
    <definedName name="nnnnnnnnnn" localSheetId="2" hidden="1">Main.SAPF4Help()</definedName>
    <definedName name="nnnnnnnnnn" localSheetId="1" hidden="1">Main.SAPF4Help()</definedName>
    <definedName name="nnnnnnnnnn" hidden="1">Main.SAPF4Help()</definedName>
    <definedName name="Nodes">"$#ССЫЛ!.$B$2:$B$168"</definedName>
    <definedName name="Nodes_1">"$#ССЫЛ!.$B$2:$B$168"</definedName>
    <definedName name="NoFigureDesignTable">#REF!</definedName>
    <definedName name="NoFigureNoteTable">#REF!</definedName>
    <definedName name="NOK">#REF!</definedName>
    <definedName name="Nomr">#REF!</definedName>
    <definedName name="Norm">#REF!</definedName>
    <definedName name="Normsuch">#REF!</definedName>
    <definedName name="not_in_use">#REF!</definedName>
    <definedName name="NOTES">#REF!</definedName>
    <definedName name="NoteTable">#REF!</definedName>
    <definedName name="NoteTable2Pass">#REF!</definedName>
    <definedName name="NoteTable4Pass">#REF!</definedName>
    <definedName name="NoteTableDot">#REF!</definedName>
    <definedName name="NoteTableHigher">#REF!</definedName>
    <definedName name="NoteTableLower">#REF!</definedName>
    <definedName name="NoteTableTop">#REF!</definedName>
    <definedName name="NOZ_COST">#REF!</definedName>
    <definedName name="NOZ_WT">#REF!</definedName>
    <definedName name="Nozzle">#REF!</definedName>
    <definedName name="Nozzlem">#REF!</definedName>
    <definedName name="NPV">NA()</definedName>
    <definedName name="NPV_1">NA()</definedName>
    <definedName name="NPV_BOE">#REF!</definedName>
    <definedName name="NS">#REF!</definedName>
    <definedName name="NSpray1">#REF!</definedName>
    <definedName name="NSpray10">#REF!</definedName>
    <definedName name="NSpray11">#REF!</definedName>
    <definedName name="NSpray12">#REF!</definedName>
    <definedName name="NSpray2">#REF!</definedName>
    <definedName name="NSpray3">#REF!</definedName>
    <definedName name="NSpray4">#REF!</definedName>
    <definedName name="NSpray5">#REF!</definedName>
    <definedName name="NSpray6">#REF!</definedName>
    <definedName name="NSpray7">#REF!</definedName>
    <definedName name="NSpray8">#REF!</definedName>
    <definedName name="NSpray9">#REF!</definedName>
    <definedName name="NTG_2">#REF!</definedName>
    <definedName name="NUEVA" hidden="1">#REF!</definedName>
    <definedName name="nuevo" hidden="1">#REF!</definedName>
    <definedName name="Number_of_Payments" localSheetId="0">MATCH(0.01,End_Bal,-1)+1</definedName>
    <definedName name="Number_of_Payments" localSheetId="2">MATCH(0.01,End_Bal,-1)+1</definedName>
    <definedName name="Number_of_Payments" localSheetId="1">MATCH(0.01,End_Bal,-1)+1</definedName>
    <definedName name="Number_of_Payments">MATCH(0.01,End_Bal,-1)+1</definedName>
    <definedName name="NUOVO">#REF!</definedName>
    <definedName name="NYR">#REF!</definedName>
    <definedName name="O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O_L">#REF!</definedName>
    <definedName name="O_Ring">#REF!</definedName>
    <definedName name="O2air">#N/A</definedName>
    <definedName name="o9u" hidden="1">{0,0}</definedName>
    <definedName name="OA">#REF!</definedName>
    <definedName name="OÇ" hidden="1">{#N/A,#N/A,FALSE,"ihz. icmal";#N/A,#N/A,FALSE,"avans";#N/A,#N/A,FALSE,"mal_FF_icm";#N/A,#N/A,FALSE,"fat_ihz";#N/A,#N/A,FALSE,"söz_fiy_fark";#N/A,#N/A,FALSE,"kap2"}</definedName>
    <definedName name="OD">VLOOKUP(#REF!,PipeInfo,2,FALSE)</definedName>
    <definedName name="ODH" hidden="1">#REF!</definedName>
    <definedName name="Office">#REF!</definedName>
    <definedName name="OFFSET_TAX">#REF!</definedName>
    <definedName name="OFFSET_TAX_RATE">#REF!</definedName>
    <definedName name="og">"$#ССЫЛ!.$C$13"</definedName>
    <definedName name="og_1">NA()</definedName>
    <definedName name="oih" hidden="1">{0,0}</definedName>
    <definedName name="oihoih" hidden="1">{0,0}</definedName>
    <definedName name="Oil_boe">#REF!</definedName>
    <definedName name="OIL_PRICE">#REF!</definedName>
    <definedName name="OIL_PRICE_INDEX">#REF!</definedName>
    <definedName name="OIL_PRICE_TABLE">#REF!</definedName>
    <definedName name="OIL_RESERVES">#REF!</definedName>
    <definedName name="OIL_TRANSFORMER">#REF!</definedName>
    <definedName name="oililui" hidden="1">{#N/A,#N/A,FALSE,"CCTV"}</definedName>
    <definedName name="oj" hidden="1">{0,0}</definedName>
    <definedName name="okl" hidden="1">{"NWN_Q1810",#N/A,FALSE,"Q1810_1.V";"NWN_Q1412",#N/A,FALSE,"Q1412_1"}</definedName>
    <definedName name="okokkkkk" localSheetId="0" hidden="1">Main.SAPF4Help()</definedName>
    <definedName name="okokkkkk" localSheetId="2" hidden="1">Main.SAPF4Help()</definedName>
    <definedName name="okokkkkk" localSheetId="1" hidden="1">Main.SAPF4Help()</definedName>
    <definedName name="okokkkkk" hidden="1">Main.SAPF4Help()</definedName>
    <definedName name="oks" hidden="1">#REF!</definedName>
    <definedName name="ol" hidden="1">{"План продаж",#N/A,FALSE,"товар"}</definedName>
    <definedName name="old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oldCoverDate">#REF!</definedName>
    <definedName name="Olet">#REF!</definedName>
    <definedName name="OletB">#REF!</definedName>
    <definedName name="OletIndexB">#REF!</definedName>
    <definedName name="olf" hidden="1">{#N/A,#N/A,FALSE,"HO Rates";#N/A,#N/A,FALSE,"HO Sum"}</definedName>
    <definedName name="OLK" localSheetId="0" hidden="1">Main.SAPF4Help()</definedName>
    <definedName name="OLK" localSheetId="2" hidden="1">Main.SAPF4Help()</definedName>
    <definedName name="OLK" localSheetId="1" hidden="1">Main.SAPF4Help()</definedName>
    <definedName name="OLK" hidden="1">Main.SAPF4Help()</definedName>
    <definedName name="OM">#REF!</definedName>
    <definedName name="ON">#REF!</definedName>
    <definedName name="ONE">#REF!</definedName>
    <definedName name="ONS">#REF!</definedName>
    <definedName name="Onstream_days">#REF!</definedName>
    <definedName name="onurearned" hidden="1">#REF!</definedName>
    <definedName name="oo" hidden="1">{#N/A,#N/A,FALSE,"ZAP_FEB.XLS "}</definedName>
    <definedName name="ooo" localSheetId="0" hidden="1">Main.SAPF4Help()</definedName>
    <definedName name="ooo" localSheetId="2" hidden="1">Main.SAPF4Help()</definedName>
    <definedName name="ooo" localSheetId="1" hidden="1">Main.SAPF4Help()</definedName>
    <definedName name="ooo" hidden="1">Main.SAPF4Help()</definedName>
    <definedName name="oooo" localSheetId="0" hidden="1">Main.SAPF4Help()</definedName>
    <definedName name="oooo" localSheetId="2" hidden="1">Main.SAPF4Help()</definedName>
    <definedName name="oooo" localSheetId="1" hidden="1">Main.SAPF4Help()</definedName>
    <definedName name="oooo" hidden="1">Main.SAPF4Help()</definedName>
    <definedName name="open_input">#N/A</definedName>
    <definedName name="OpenBalans_01GAAPПроизводственные" hidden="1">#REF!</definedName>
    <definedName name="OpenBalans_02БУПроизводственные" hidden="1">#REF!</definedName>
    <definedName name="OpenBalans_09GAAP" hidden="1">#REF!</definedName>
    <definedName name="OpenFire">#REF!</definedName>
    <definedName name="OPEX_BOE">#REF!</definedName>
    <definedName name="opex_mult">#REF!</definedName>
    <definedName name="OPEX_WELL">#REF!</definedName>
    <definedName name="Option_Ges">#REF!</definedName>
    <definedName name="OptionButton20_Click" localSheetId="0">#REF!</definedName>
    <definedName name="OptionButton20_Click" localSheetId="2">#REF!</definedName>
    <definedName name="OptionButton20_Click" localSheetId="1">#REF!</definedName>
    <definedName name="OptionButton20_Click">#REF!</definedName>
    <definedName name="OptionButton21_Click" localSheetId="0">#REF!</definedName>
    <definedName name="OptionButton21_Click" localSheetId="2">#REF!</definedName>
    <definedName name="OptionButton21_Click" localSheetId="1">#REF!</definedName>
    <definedName name="OptionButton21_Click">#REF!</definedName>
    <definedName name="OptionButton23_Click" localSheetId="0">#REF!</definedName>
    <definedName name="OptionButton23_Click" localSheetId="2">#REF!</definedName>
    <definedName name="OptionButton23_Click" localSheetId="1">#REF!</definedName>
    <definedName name="OptionButton23_Click">#REF!</definedName>
    <definedName name="OptionButton24_Click" localSheetId="0">#REF!</definedName>
    <definedName name="OptionButton24_Click" localSheetId="2">#REF!</definedName>
    <definedName name="OptionButton24_Click" localSheetId="1">#REF!</definedName>
    <definedName name="OptionButton24_Click">#REF!</definedName>
    <definedName name="OR">#REF!</definedName>
    <definedName name="ORBC">#REF!</definedName>
    <definedName name="ORBQ">#REF!</definedName>
    <definedName name="OrderTable" hidden="1">#REF!</definedName>
    <definedName name="OrgName">#REF!</definedName>
    <definedName name="Orifice">#REF!</definedName>
    <definedName name="Orig1">#REF!</definedName>
    <definedName name="ÖRNEK2" hidden="1">{#N/A,#N/A,FALSE,"ihz. icmal";#N/A,#N/A,FALSE,"avans";#N/A,#N/A,FALSE,"mal_FF_icm";#N/A,#N/A,FALSE,"fat_ihz";#N/A,#N/A,FALSE,"söz_fiy_fark";#N/A,#N/A,FALSE,"kap2"}</definedName>
    <definedName name="OS">#REF!</definedName>
    <definedName name="OSBL" hidden="1">{#N/A,#N/A,FALSE,"CCTV"}</definedName>
    <definedName name="OSBL_1" hidden="1">{#N/A,#N/A,FALSE,"CCTV"}</definedName>
    <definedName name="osg">NA()</definedName>
    <definedName name="osg_1">NA()</definedName>
    <definedName name="OSM" hidden="1">{#N/A,#N/A,FALSE,"TELEFON"}</definedName>
    <definedName name="Other">#REF!</definedName>
    <definedName name="OTHER_PANEL">#REF!</definedName>
    <definedName name="Others_Excise">NA()</definedName>
    <definedName name="Others_Excise_1">"$#ССЫЛ!.$E$603:$E$623"</definedName>
    <definedName name="ÖTNEK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ouo" hidden="1">{0,0}</definedName>
    <definedName name="Outcome_Name">#REF!</definedName>
    <definedName name="OUTJVLS">#REF!</definedName>
    <definedName name="OUTJVREIMB">#REF!</definedName>
    <definedName name="OutputNames">#REF!</definedName>
    <definedName name="OUTSEILS">#REF!</definedName>
    <definedName name="OUTSEIREIMB">#REF!</definedName>
    <definedName name="OUTTPBLS">#REF!</definedName>
    <definedName name="OUTTPBREIMB">#REF!</definedName>
    <definedName name="OUTTPLS">#REF!</definedName>
    <definedName name="OUTTPREIMB">#REF!</definedName>
    <definedName name="OverFilling">#REF!</definedName>
    <definedName name="OVERP">#REF!</definedName>
    <definedName name="Overpressure">#REF!</definedName>
    <definedName name="OVHD">#REF!</definedName>
    <definedName name="Ow">#REF!</definedName>
    <definedName name="Owner_s_Representatives_in_Contractor_s_Home_Office___Munich">#REF!</definedName>
    <definedName name="ozkan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P">NA()</definedName>
    <definedName name="P_1">NA()</definedName>
    <definedName name="P_discharge_bar_a">#REF!</definedName>
    <definedName name="P_GRAD1">#REF!</definedName>
    <definedName name="P_GRAD2">#REF!</definedName>
    <definedName name="P_Name">"FAB_EQ_DATABANK"</definedName>
    <definedName name="P_suction_bar_a">#REF!</definedName>
    <definedName name="P1_ep_tbo" hidden="1">#REF!,#REF!,#REF!,#REF!,#REF!,#REF!,#REF!</definedName>
    <definedName name="P1_ep_tep" hidden="1">#REF!,#REF!,#REF!,#REF!,#REF!,#REF!</definedName>
    <definedName name="P1_ep_vo" hidden="1">#REF!,#REF!,#REF!,#REF!,#REF!</definedName>
    <definedName name="P1_ep_vs" hidden="1">#REF!,#REF!,#REF!,#REF!,#REF!</definedName>
    <definedName name="P1_ESO_PROT" hidden="1">#REF!,#REF!,#REF!,#REF!,#REF!,#REF!,#REF!,#REF!</definedName>
    <definedName name="P1_SBT_PROT" hidden="1">#REF!,#REF!,#REF!,#REF!,#REF!,#REF!,#REF!</definedName>
    <definedName name="P1_SCOPE_FLOAD" hidden="1">#REF!,#REF!,#REF!,#REF!,#REF!,#REF!</definedName>
    <definedName name="P1_SCOPE_FRML" hidden="1">#REF!,#REF!,#REF!,#REF!,#REF!,#REF!</definedName>
    <definedName name="P1_SCOPE_PRT_K1" hidden="1">#REF!,#REF!,#REF!,#REF!,#REF!,#REF!,#REF!,#REF!,#REF!</definedName>
    <definedName name="P1_SET_PROT" hidden="1">#REF!,#REF!,#REF!,#REF!,#REF!,#REF!,#REF!</definedName>
    <definedName name="P1_SET_PRT" hidden="1">#REF!,#REF!,#REF!,#REF!,#REF!,#REF!,#REF!</definedName>
    <definedName name="P2_ep_tep" hidden="1">#REF!,#REF!,#REF!,#REF!,#REF!</definedName>
    <definedName name="P2_ep_vo" hidden="1">#REF!,#REF!,#REF!,#REF!,#REF!</definedName>
    <definedName name="P2_ep_vs" hidden="1">#REF!,#REF!,#REF!,#REF!,#REF!</definedName>
    <definedName name="P2_SCOPE_PRT_K1" hidden="1">#REF!,#REF!,#REF!,#REF!,#REF!,#REF!,#REF!,#REF!,#REF!,#REF!</definedName>
    <definedName name="P3_SCOPE_PRT_K1" hidden="1">#REF!,#REF!,#REF!,#REF!,#REF!,#REF!,#REF!,#REF!,#REF!,#REF!</definedName>
    <definedName name="P4_SCOPE_PRT_K1" hidden="1">#REF!,#REF!,#REF!,#REF!,#REF!,#REF!,#REF!,#REF!,#REF!,#REF!</definedName>
    <definedName name="P5_SCOPE_PRT_K1" hidden="1">#REF!,#REF!,#REF!,#REF!,#REF!,#REF!,#REF!,#REF!,#REF!,#REF!</definedName>
    <definedName name="P6_SCOPE_PRT_K1" hidden="1">#REF!,#REF!,#REF!,#REF!,#REF!,#REF!,#REF!,#REF!,#REF!,#REF!</definedName>
    <definedName name="P7_SCOPE_PRT_K1" hidden="1">#REF!,#REF!,#REF!,#REF!,#REF!,#REF!,#REF!,#REF!,#REF!,#REF!</definedName>
    <definedName name="PA">#REF!</definedName>
    <definedName name="Package_Units_Coding">#REF!</definedName>
    <definedName name="Package_Units_Name">#REF!</definedName>
    <definedName name="Packed_Lever">#REF!</definedName>
    <definedName name="PAGE">#REF!</definedName>
    <definedName name="Page_Coef01">#REF!</definedName>
    <definedName name="Page_Coef02">#REF!</definedName>
    <definedName name="Page_Coef03">#REF!</definedName>
    <definedName name="Page_Coef04">#REF!</definedName>
    <definedName name="Page_Coef05">#REF!</definedName>
    <definedName name="Page_Coef06">#REF!</definedName>
    <definedName name="Page_Coef07">#REF!</definedName>
    <definedName name="Page_Coef08">#REF!</definedName>
    <definedName name="Page_Coef09">#REF!</definedName>
    <definedName name="Page_Coef10">#REF!</definedName>
    <definedName name="Page_Coef11">#REF!</definedName>
    <definedName name="Page_Coef12">#REF!</definedName>
    <definedName name="Page_Coef13">#REF!</definedName>
    <definedName name="Page_Erect01">#REF!</definedName>
    <definedName name="Page_Erect02">#REF!</definedName>
    <definedName name="Page_Erect03">#REF!</definedName>
    <definedName name="Page_Erect04">#REF!</definedName>
    <definedName name="Page_Erect05">#REF!</definedName>
    <definedName name="Page_Erect06">#REF!</definedName>
    <definedName name="Page_Erect07">#REF!</definedName>
    <definedName name="Page_Erect08">#REF!</definedName>
    <definedName name="Page_Erect09">#REF!</definedName>
    <definedName name="Page_Erect10">#REF!</definedName>
    <definedName name="Page_Erect11">#REF!</definedName>
    <definedName name="Page_Erect12">#REF!</definedName>
    <definedName name="Page_Erect13">#REF!</definedName>
    <definedName name="Page_Tak01">#REF!</definedName>
    <definedName name="Page_Tak02">#REF!</definedName>
    <definedName name="Page_Tak03">#REF!</definedName>
    <definedName name="Page_Tak04">#REF!</definedName>
    <definedName name="Page_Tak05">#REF!</definedName>
    <definedName name="Page_Tak06">#REF!</definedName>
    <definedName name="Page_Tak07">#REF!</definedName>
    <definedName name="Page_Tak08">#REF!</definedName>
    <definedName name="Page_Tak09">#REF!</definedName>
    <definedName name="Page_Tak10">#REF!</definedName>
    <definedName name="Page_Tak11">#REF!</definedName>
    <definedName name="Page_Tak12">#REF!</definedName>
    <definedName name="Page_Tak13">#REF!</definedName>
    <definedName name="Page_Val01">#REF!</definedName>
    <definedName name="page1">#REF!</definedName>
    <definedName name="PAGE2" hidden="1">{#N/A,#N/A,FALSE,"Ejector 1";#N/A,#N/A,FALSE,"Ejector 2"}</definedName>
    <definedName name="PAGEA">#REF!</definedName>
    <definedName name="PAGENB">#REF!</definedName>
    <definedName name="PageUnitPrice">#REF!</definedName>
    <definedName name="PAINT_APP">#REF!</definedName>
    <definedName name="PAINT_COAT">#REF!</definedName>
    <definedName name="PAINT_MARK">#REF!</definedName>
    <definedName name="PAINT_MARK_APP.RANGE1">#REF!</definedName>
    <definedName name="PAINT_MARK_APP.RANGE2">#REF!</definedName>
    <definedName name="PAINT_MAT">#REF!</definedName>
    <definedName name="PAINT_PCL">#REF!+#REF!</definedName>
    <definedName name="PAINT_PIP_APP.RANGE">#REF!</definedName>
    <definedName name="PAINT_STR_APP.RANGE">#REF!</definedName>
    <definedName name="PAINT_SUPPORT_APP.RANGE">#REF!</definedName>
    <definedName name="PAINT_SURF.PREP">#REF!</definedName>
    <definedName name="Pal_Workbook_GUID" hidden="1">"4QW2HMXQ454SQDF5SIYB9NSI"</definedName>
    <definedName name="Panel">#REF!</definedName>
    <definedName name="Partners">#REF!</definedName>
    <definedName name="path">#REF!</definedName>
    <definedName name="Patm">#REF!</definedName>
    <definedName name="PAWS_Basis">1</definedName>
    <definedName name="PAWS_EndDate">38018</definedName>
    <definedName name="PAWS_GraphMode">TRUE</definedName>
    <definedName name="PAWS_LastDate">NA()</definedName>
    <definedName name="PAWS_LastDate_1">"$#ССЫЛ!.$#ССЫЛ!$#ССЫЛ!"</definedName>
    <definedName name="PAWS_LastNDays">10</definedName>
    <definedName name="PAWS_PasteRows">FALSE</definedName>
    <definedName name="PAWS_Periodicity">3</definedName>
    <definedName name="PAWS_PeriodSpec">2</definedName>
    <definedName name="PAWS_StartDate">35796</definedName>
    <definedName name="PAWS_UseDates">TRUE</definedName>
    <definedName name="PAWS_UseLastSelection">FALSE</definedName>
    <definedName name="PAWS_UseUnits">TRUE</definedName>
    <definedName name="PAWS_ZeroMode">FALSE</definedName>
    <definedName name="Pback">#REF!</definedName>
    <definedName name="pc">#REF!</definedName>
    <definedName name="Pcasing">"$#ССЫЛ!.$C$9"</definedName>
    <definedName name="Pcasing_1">NA()</definedName>
    <definedName name="pdesign">#REF!</definedName>
    <definedName name="PDH_2SP">#REF!</definedName>
    <definedName name="PDH_C_costs">#REF!</definedName>
    <definedName name="PDH_CSP">#REF!</definedName>
    <definedName name="PDH_Detail_Design">#REF!</definedName>
    <definedName name="PDH_EAC_GOST">#REF!</definedName>
    <definedName name="PDH_Flare_Part">#REF!</definedName>
    <definedName name="PDH_Inspection">#REF!</definedName>
    <definedName name="PDH_Procurement_Services">#REF!</definedName>
    <definedName name="PDH_Site_Services">#REF!</definedName>
    <definedName name="PDH_Training">#REF!</definedName>
    <definedName name="PDH_Vendor_Reps">#REF!</definedName>
    <definedName name="PDK">#REF!</definedName>
    <definedName name="PEAK_CON">#REF!</definedName>
    <definedName name="PEAK_GAS">#REF!</definedName>
    <definedName name="Peak_well_flow_yearly">#REF!</definedName>
    <definedName name="Peigen">#REF!</definedName>
    <definedName name="PEJM">#REF!</definedName>
    <definedName name="PELMAG">#REF!</definedName>
    <definedName name="PELMAGPR">#REF!</definedName>
    <definedName name="PELMUG">#REF!</definedName>
    <definedName name="Penality">#REF!</definedName>
    <definedName name="percent">#REF!</definedName>
    <definedName name="percent_to_SO4">#REF!</definedName>
    <definedName name="Perf_depth">"$#ССЫЛ!.$C$6"</definedName>
    <definedName name="Perf_depth_1">NA()</definedName>
    <definedName name="PERFORM">#REF!</definedName>
    <definedName name="Period">#REF!</definedName>
    <definedName name="Periods">"$#ССЫЛ!.$B$2:$C$22"</definedName>
    <definedName name="Periods_1">"$#ССЫЛ!.$B$2:$C$22"</definedName>
    <definedName name="peroxide" hidden="1">{#N/A,#N/A,FALSE,"CCTV"}</definedName>
    <definedName name="peroxide_1" hidden="1">{#N/A,#N/A,FALSE,"CCTV"}</definedName>
    <definedName name="PF">1200</definedName>
    <definedName name="PF_LabourRate">#REF!</definedName>
    <definedName name="PFHELeak">#REF!</definedName>
    <definedName name="Pfl">#REF!</definedName>
    <definedName name="p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pg_all">#REF!</definedName>
    <definedName name="pg_code1">#REF!</definedName>
    <definedName name="Pgc">"$#ССЫЛ!.$C$30"</definedName>
    <definedName name="Pgc_1">NA()</definedName>
    <definedName name="pgwjpwojwpg" hidden="1">{#N/A,#N/A,FALSE,"OVERVIEW 98";#N/A,#N/A,FALSE,"PMD 98  to 2000";#N/A,#N/A,FALSE,"SMD 98 to 2000";#N/A,#N/A,FALSE,"Facilities98";#N/A,#N/A,FALSE,"Quality"}</definedName>
    <definedName name="PHASE" hidden="1">{#N/A,#N/A,TRUE,"Basic";#N/A,#N/A,TRUE,"EXT-TABLE";#N/A,#N/A,TRUE,"STEEL";#N/A,#N/A,TRUE,"INT-Table";#N/A,#N/A,TRUE,"STEEL";#N/A,#N/A,TRUE,"Door"}</definedName>
    <definedName name="phi">#REF!</definedName>
    <definedName name="Physical" hidden="1">{#N/A,#N/A,TRUE,"Basic";#N/A,#N/A,TRUE,"EXT-TABLE";#N/A,#N/A,TRUE,"STEEL";#N/A,#N/A,TRUE,"INT-Table";#N/A,#N/A,TRUE,"STEEL";#N/A,#N/A,TRUE,"Door"}</definedName>
    <definedName name="Physical_Scope">#REF!</definedName>
    <definedName name="PI">#REF!</definedName>
    <definedName name="PipeID">#REF!</definedName>
    <definedName name="PipeInfo">#REF!</definedName>
    <definedName name="Pipeschedule">#REF!</definedName>
    <definedName name="Pipesize">#REF!</definedName>
    <definedName name="piping">#REF!</definedName>
    <definedName name="piping1">#REF!</definedName>
    <definedName name="pippo" hidden="1">{"'Infrastr.'!$A$1:$S$27"}</definedName>
    <definedName name="PIPPPP">#REF!</definedName>
    <definedName name="PJMTH">#REF!</definedName>
    <definedName name="PkColumnID">#REF!</definedName>
    <definedName name="PkHeight">#REF!</definedName>
    <definedName name="PkMaterial">#REF!</definedName>
    <definedName name="PkSheetTh">#REF!</definedName>
    <definedName name="PkSize">#REF!</definedName>
    <definedName name="PkType">#REF!</definedName>
    <definedName name="pl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PL_指示燈___P.B.___REST_P.B._壓扣開關">#REF!</definedName>
    <definedName name="place">#REF!</definedName>
    <definedName name="Plain_Lever">#REF!</definedName>
    <definedName name="PLANPROG">#REF!</definedName>
    <definedName name="Plant">#REF!</definedName>
    <definedName name="plant_desc">#REF!</definedName>
    <definedName name="plant_long">#REF!</definedName>
    <definedName name="PlantSections">#REF!</definedName>
    <definedName name="PLAT" hidden="1">{#N/A,#N/A,TRUE,"Cover";#N/A,#N/A,TRUE,"Conts";#N/A,#N/A,TRUE,"VOS";#N/A,#N/A,TRUE,"Warrington";#N/A,#N/A,TRUE,"Widnes"}</definedName>
    <definedName name="plate">#REF!</definedName>
    <definedName name="plate_10mm">#REF!</definedName>
    <definedName name="plate_20mm">#REF!</definedName>
    <definedName name="PLATFORM" hidden="1">{#N/A,#N/A,TRUE,"Cover";#N/A,#N/A,TRUE,"Conts";#N/A,#N/A,TRUE,"VOS";#N/A,#N/A,TRUE,"Warrington";#N/A,#N/A,TRUE,"Widnes"}</definedName>
    <definedName name="PLCS">#REF!</definedName>
    <definedName name="PLreclassed" hidden="1">{"Equity Only",#N/A,FALSE,"NNGT1";"Equity Only",#N/A,FALSE,"NNT1";"Equity Only",#N/A,FALSE,"SNT1";"Equity Only",#N/A,FALSE,"BNT1";"Equity Only",#N/A,FALSE,"PNT1"}</definedName>
    <definedName name="PLSS">#REF!</definedName>
    <definedName name="PLZ_BENENNUNG">#REF!</definedName>
    <definedName name="PLZ_Eng">#REF!</definedName>
    <definedName name="PLZ_NEU">#REF!</definedName>
    <definedName name="PM_Secretary">#REF!</definedName>
    <definedName name="pmost">#REF!</definedName>
    <definedName name="PNsuch">#REF!</definedName>
    <definedName name="po">#REF!</definedName>
    <definedName name="poihoi" hidden="1">{0,0}</definedName>
    <definedName name="poiiuyytt" hidden="1">{#N/A,#N/A,FALSE,"Clients Office";#N/A,#N/A,FALSE,"Co Sum"}</definedName>
    <definedName name="poiu" hidden="1">{0,0}</definedName>
    <definedName name="POL">#REF!</definedName>
    <definedName name="PORO2">#REF!</definedName>
    <definedName name="POSITION_TAB">#REF!</definedName>
    <definedName name="pou" hidden="1">{0,0}</definedName>
    <definedName name="Pounds">0.526</definedName>
    <definedName name="power_eq_list">#REF!</definedName>
    <definedName name="PP">#REF!</definedName>
    <definedName name="PP_1" hidden="1">{#N/A,#N/A,FALSE,"CCTV"}</definedName>
    <definedName name="PP_2SP">#REF!</definedName>
    <definedName name="PP_C_costs">#REF!</definedName>
    <definedName name="PP_CSP">#REF!</definedName>
    <definedName name="PP_Detail_Design">#REF!</definedName>
    <definedName name="PP_EAC_GOST">#REF!</definedName>
    <definedName name="PP_Flare_Part">#REF!</definedName>
    <definedName name="PP_HDPE_MTO">#REF!</definedName>
    <definedName name="PP_Inspection">#REF!</definedName>
    <definedName name="PP_Procurement_Services">#REF!</definedName>
    <definedName name="PP_Site_Services">#REF!</definedName>
    <definedName name="PP_Training">#REF!</definedName>
    <definedName name="PP_Vendor_reps">#REF!</definedName>
    <definedName name="pplima">#REF!</definedName>
    <definedName name="PPMHRSRT">#REF!</definedName>
    <definedName name="PPP" hidden="1">{#N/A,#N/A,FALSE,"CCTV"}</definedName>
    <definedName name="Ppr">NA()</definedName>
    <definedName name="Ppr_1">NA()</definedName>
    <definedName name="PPSBMNFCTR">#REF!</definedName>
    <definedName name="PQ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pr" localSheetId="0" hidden="1">Main.SAPF4Help()</definedName>
    <definedName name="pr" localSheetId="2" hidden="1">Main.SAPF4Help()</definedName>
    <definedName name="pr" localSheetId="1" hidden="1">Main.SAPF4Help()</definedName>
    <definedName name="pr" hidden="1">Main.SAPF4Help()</definedName>
    <definedName name="PRAYER" hidden="1">{#N/A,#N/A,FALSE,"CCTV"}</definedName>
    <definedName name="PRAYER_1" hidden="1">{#N/A,#N/A,FALSE,"CCTV"}</definedName>
    <definedName name="Prefix">#REF!</definedName>
    <definedName name="prelief">#REF!</definedName>
    <definedName name="Prelief1">#REF!</definedName>
    <definedName name="Prelief2">#REF!</definedName>
    <definedName name="Prelief3">#REF!</definedName>
    <definedName name="PRES2">#REF!</definedName>
    <definedName name="prev_page">#REF!</definedName>
    <definedName name="preview_it">#REF!</definedName>
    <definedName name="PRICE">#REF!</definedName>
    <definedName name="Price_Misc">#REF!</definedName>
    <definedName name="Price_MiscCol">#REF!</definedName>
    <definedName name="Price_MiscRow">#REF!</definedName>
    <definedName name="price_mult">#REF!</definedName>
    <definedName name="Price_Table">#REF!</definedName>
    <definedName name="PRICE1">#REF!</definedName>
    <definedName name="prices1">#REF!</definedName>
    <definedName name="Principal">#REF!</definedName>
    <definedName name="PRINT">#REF!</definedName>
    <definedName name="Print_Area_Detail">#REF!</definedName>
    <definedName name="Print_Area_MI">#REF!</definedName>
    <definedName name="Print_CSC_Report_2" hidden="1">{"CSC_1",#N/A,FALSE,"CSC Outputs";"CSC_2",#N/A,FALSE,"CSC Outputs"}</definedName>
    <definedName name="Print_CSC_Report_3" hidden="1">{"CSC_1",#N/A,FALSE,"CSC Outputs";"CSC_2",#N/A,FALSE,"CSC Outputs"}</definedName>
    <definedName name="print_it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A">#REF!</definedName>
    <definedName name="PRINTAREA">#REF!</definedName>
    <definedName name="PRINTB">#REF!</definedName>
    <definedName name="PrintBuyer" hidden="1">{#N/A,"DR",FALSE,"increm pf";#N/A,"MAMSI",FALSE,"increm pf";#N/A,"MAXI",FALSE,"increm pf";#N/A,"PCAM",FALSE,"increm pf";#N/A,"PHSV",FALSE,"increm pf";#N/A,"SIE",FALSE,"increm pf"}</definedName>
    <definedName name="PRINTC">#REF!</definedName>
    <definedName name="PrintCosts">#REF!</definedName>
    <definedName name="PrintEconomics">#REF!</definedName>
    <definedName name="PrintGPHArangCoalYield">#REF!</definedName>
    <definedName name="PrintGPHAreaVsDepth">#REF!</definedName>
    <definedName name="PrintGPHCDF">#REF!</definedName>
    <definedName name="PrintGPHCrossPlot">#REF!</definedName>
    <definedName name="PrintGPHOilProneYield">#REF!</definedName>
    <definedName name="PrintGPHPoreVolume">#REF!</definedName>
    <definedName name="PrintGPHProbabilityCalculator">#REF!</definedName>
    <definedName name="PrintGPHStandardYield">#REF!</definedName>
    <definedName name="PrintHCIP">#REF!</definedName>
    <definedName name="PrintInformation">#REF!</definedName>
    <definedName name="PrintNGPrice">#REF!</definedName>
    <definedName name="PrintRange">#REF!</definedName>
    <definedName name="PrintReservoir1">#REF!</definedName>
    <definedName name="PrintReservoir2">#REF!</definedName>
    <definedName name="PrintReservoir3">#REF!</definedName>
    <definedName name="PrintReservoir4">#REF!</definedName>
    <definedName name="PrintReservoir5">#REF!</definedName>
    <definedName name="PrintReservoir6">#REF!</definedName>
    <definedName name="PrintReservoir7">#REF!</definedName>
    <definedName name="PrintReservoir8">#REF!</definedName>
    <definedName name="PrintReservoirPerformance">#REF!</definedName>
    <definedName name="PrintRolledUpRisk">#REF!</definedName>
    <definedName name="PRJDESC">#REF!</definedName>
    <definedName name="Process">#REF!</definedName>
    <definedName name="Processing">#REF!</definedName>
    <definedName name="ProdForm" hidden="1">#REF!</definedName>
    <definedName name="ProducerRange">#REF!</definedName>
    <definedName name="Product" hidden="1">#REF!</definedName>
    <definedName name="productbundlelist">#REF!</definedName>
    <definedName name="Production_Tax">NA()</definedName>
    <definedName name="Production_Tax_1">"$#ССЫЛ!.$E$152:$E$172"</definedName>
    <definedName name="productlist">#REF!</definedName>
    <definedName name="prog" hidden="1">#REF!</definedName>
    <definedName name="proj_code">#REF!</definedName>
    <definedName name="PROJ_MANAGER">#REF!</definedName>
    <definedName name="proj_no">#REF!</definedName>
    <definedName name="Project">#REF!</definedName>
    <definedName name="Project_No">#REF!</definedName>
    <definedName name="PROJECT_TOTAL">#REF!</definedName>
    <definedName name="ProjectMaxStartDate">#REF!</definedName>
    <definedName name="ProjectMinStartDate">#REF!</definedName>
    <definedName name="ProjectName">#REF!</definedName>
    <definedName name="ProjectNo">#REF!</definedName>
    <definedName name="Projektdaten">#REF!</definedName>
    <definedName name="ProjektDialog_P_S_push_abbrechen" localSheetId="0">#REF!</definedName>
    <definedName name="ProjektDialog_P_S_push_abbrechen" localSheetId="2">#REF!</definedName>
    <definedName name="ProjektDialog_P_S_push_abbrechen" localSheetId="1">#REF!</definedName>
    <definedName name="ProjektDialog_P_S_push_abbrechen">#REF!</definedName>
    <definedName name="ProjektDialog_P_S_push_help" localSheetId="0">#REF!</definedName>
    <definedName name="ProjektDialog_P_S_push_help" localSheetId="2">#REF!</definedName>
    <definedName name="ProjektDialog_P_S_push_help" localSheetId="1">#REF!</definedName>
    <definedName name="ProjektDialog_P_S_push_help">#REF!</definedName>
    <definedName name="ProjektDialog_P_S_push_ok" localSheetId="0">#REF!</definedName>
    <definedName name="ProjektDialog_P_S_push_ok" localSheetId="2">#REF!</definedName>
    <definedName name="ProjektDialog_P_S_push_ok" localSheetId="1">#REF!</definedName>
    <definedName name="ProjektDialog_P_S_push_ok">#REF!</definedName>
    <definedName name="ProjName">#REF!</definedName>
    <definedName name="PROPOSAL">#REF!</definedName>
    <definedName name="Proposals">#REF!</definedName>
    <definedName name="Prospect_Name">#REF!</definedName>
    <definedName name="Provisions" hidden="1">{#N/A,#N/A,FALSE,"JACKETS (1100 t) (1)"}</definedName>
    <definedName name="PROZENT_1">#REF!</definedName>
    <definedName name="PROZENT_2">#REF!</definedName>
    <definedName name="PRS">#REF!</definedName>
    <definedName name="prs_06">NA()</definedName>
    <definedName name="prs_06_1">NA()</definedName>
    <definedName name="prs_07">NA()</definedName>
    <definedName name="prs_07_1">NA()</definedName>
    <definedName name="prsc_07">NA()</definedName>
    <definedName name="prsc_07_1">NA()</definedName>
    <definedName name="PRSPHL">0.95</definedName>
    <definedName name="PRTetec">#REF!,#REF!</definedName>
    <definedName name="PRTinstr">#REF!,#REF!</definedName>
    <definedName name="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PS_2">#REF!</definedName>
    <definedName name="PSADMR">#REF!</definedName>
    <definedName name="PSCUPLFT">#REF!</definedName>
    <definedName name="Psep">NA()</definedName>
    <definedName name="Psep_1">NA()</definedName>
    <definedName name="pset">#REF!</definedName>
    <definedName name="Psi">#REF!</definedName>
    <definedName name="PSMPT">#REF!</definedName>
    <definedName name="pspc_06">NA()</definedName>
    <definedName name="pspc_06_1">NA()</definedName>
    <definedName name="Psurf">NA()</definedName>
    <definedName name="Psurf_1">NA()</definedName>
    <definedName name="PT">#REF!</definedName>
    <definedName name="PT_Basic">#REF!</definedName>
    <definedName name="PU_Bahilovskoe_Urals">"$#ССЫЛ!.$G$93:$G$113"</definedName>
    <definedName name="PU_Bahilovskoe_Urals_1">"$#ССЫЛ!.$G$93:$G$113"</definedName>
    <definedName name="PU_NNP_Urals">"$#ССЫЛ!.$G$71:$G$91"</definedName>
    <definedName name="PU_NNP_Urals_1">"$#ССЫЛ!.$G$71:$G$91"</definedName>
    <definedName name="PU_Novosibirsk_Light">"$#ССЫЛ!.$G$181:$G$201"</definedName>
    <definedName name="PU_Novosibirsk_Light_1">"$#ССЫЛ!.$G$181:$G$201"</definedName>
    <definedName name="PU_Nyagan_Light">"$#ССЫЛ!.$G$137:$G$157"</definedName>
    <definedName name="PU_Nyagan_Light_1">"$#ССЫЛ!.$G$137:$G$157"</definedName>
    <definedName name="PU_OrenburgGeology_Light">"$#ССЫЛ!.$G$335:$G$355"</definedName>
    <definedName name="PU_OrenburgGeology_Light_1">"$#ССЫЛ!.$G$335:$G$355"</definedName>
    <definedName name="PU_OrenburgGeology_Urals">"$#ССЫЛ!.$G$313:$G$333"</definedName>
    <definedName name="PU_OrenburgGeology_Urals_1">"$#ССЫЛ!.$G$313:$G$333"</definedName>
    <definedName name="PU_Orenburgneft_Light">"$#ССЫЛ!.$G$291:$G$311"</definedName>
    <definedName name="PU_Orenburgneft_Light_1">"$#ССЫЛ!.$G$291:$G$311"</definedName>
    <definedName name="PU_Orenburgneft_Urals">"$#ССЫЛ!.$G$247:$G$267"</definedName>
    <definedName name="PU_Orenburgneft_Urals_1">"$#ССЫЛ!.$G$247:$G$267"</definedName>
    <definedName name="PU_Orenburgneft_Zaik">"$#ССЫЛ!.$G$269:$G$289"</definedName>
    <definedName name="PU_Orenburgneft_Zaik_1">"$#ССЫЛ!.$G$269:$G$289"</definedName>
    <definedName name="PU_Own_Fields_Urals">"$#ССЫЛ!.$G$225:$G$245"</definedName>
    <definedName name="PU_Own_Fields_Urals_1">"$#ССЫЛ!.$G$225:$G$245"</definedName>
    <definedName name="PU_Rospan_Cond">"$#ССЫЛ!.$G$468:$G$488"</definedName>
    <definedName name="PU_Rospan_Cond_1">"$#ССЫЛ!.$G$468:$G$488"</definedName>
    <definedName name="PU_RUSIA_Cond">"$#ССЫЛ!.$G$490:$G$510"</definedName>
    <definedName name="PU_RUSIA_Cond_1">"$#ССЫЛ!.$G$490:$G$510"</definedName>
    <definedName name="PU_SamotlorNG_Urals">"$#ССЫЛ!.$G$5:$G$25"</definedName>
    <definedName name="PU_SamotlorNG_Urals_1">"$#ССЫЛ!.$G$5:$G$25"</definedName>
    <definedName name="PU_SaratovNG_Light">"$#ССЫЛ!.$G$379:$G$399"</definedName>
    <definedName name="PU_SaratovNG_Light_1">"$#ССЫЛ!.$G$379:$G$399"</definedName>
    <definedName name="PU_SaratovNG_Urals">"$#ССЫЛ!.$G$357:$G$377"</definedName>
    <definedName name="PU_SaratovNG_Urals_1">"$#ССЫЛ!.$G$357:$G$377"</definedName>
    <definedName name="PU_TNK_Nizhnev_Urals">"$#ССЫЛ!.$G$49:$G$69"</definedName>
    <definedName name="PU_TNK_Nizhnev_Urals_1">"$#ССЫЛ!.$G$49:$G$69"</definedName>
    <definedName name="PU_TyumanNG_Urals">"$#ССЫЛ!.$G$159:$G$179"</definedName>
    <definedName name="PU_TyumanNG_Urals_1">"$#ССЫЛ!.$G$159:$G$179"</definedName>
    <definedName name="PU_Udmurtneft_Urals">"$#ССЫЛ!.$G$423:$G$443"</definedName>
    <definedName name="PU_Udmurtneft_Urals_1">"$#ССЫЛ!.$G$423:$G$443"</definedName>
    <definedName name="PU_UdmurtOilCo_Urals">"$#ССЫЛ!.$G$445:$G$465"</definedName>
    <definedName name="PU_UdmurtOilCo_Urals_1">"$#ССЫЛ!.$G$445:$G$465"</definedName>
    <definedName name="PU_Ugra_Urals">"$#ССЫЛ!.$G$27:$G$47"</definedName>
    <definedName name="PU_Ugra_Urals_1">"$#ССЫЛ!.$G$27:$G$47"</definedName>
    <definedName name="PU_Uvat_Urals">"$#ССЫЛ!.$G$203:$G$223"</definedName>
    <definedName name="PU_Uvat_Urals_1">"$#ССЫЛ!.$G$203:$G$223"</definedName>
    <definedName name="PU_Varygon_Urals">"$#ССЫЛ!.$G$115:$G$135"</definedName>
    <definedName name="PU_Varygon_Urals_1">"$#ССЫЛ!.$G$115:$G$135"</definedName>
    <definedName name="PUB_FileID" hidden="1">"L10003363.xls"</definedName>
    <definedName name="pub_GFO">NA()</definedName>
    <definedName name="pub_GFO_1">"$#ССЫЛ!.$C$7"</definedName>
    <definedName name="pub_phone">NA()</definedName>
    <definedName name="pub_phone_1">"$#ССЫЛ!.$C$10"</definedName>
    <definedName name="pub_Responsible">NA()</definedName>
    <definedName name="pub_Responsible_1">"$#ССЫЛ!.$C$9"</definedName>
    <definedName name="PUB_UserID" hidden="1">"MAYERX"</definedName>
    <definedName name="pub_Year">NA()</definedName>
    <definedName name="pub_Year_1">"$#ССЫЛ!.$C$8"</definedName>
    <definedName name="Pump_depth">"$#ССЫЛ!.$C$7"</definedName>
    <definedName name="Pump_depth_1">NA()</definedName>
    <definedName name="Pumpe_Kran">#REF!</definedName>
    <definedName name="PURCH_GROUP_DESC">#REF!</definedName>
    <definedName name="PURCH_PART">#REF!</definedName>
    <definedName name="PURCH_PARTS">#REF!</definedName>
    <definedName name="Purchase">#REF!</definedName>
    <definedName name="PURCHASE_GROUP">#REF!</definedName>
    <definedName name="PURCHASE_GROUPS">#REF!</definedName>
    <definedName name="PURCHASE_PART">#REF!</definedName>
    <definedName name="PURCHASE_PARTS">#REF!</definedName>
    <definedName name="PV_2">#REF!</definedName>
    <definedName name="Pverf1">#REF!</definedName>
    <definedName name="Pverf2">#REF!</definedName>
    <definedName name="Pverf3">#REF!</definedName>
    <definedName name="PWHT">#REF!</definedName>
    <definedName name="pwork">#REF!</definedName>
    <definedName name="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_1" hidden="1">{#N/A,#N/A,TRUE,"Basic";#N/A,#N/A,TRUE,"EXT-TABLE";#N/A,#N/A,TRUE,"STEEL";#N/A,#N/A,TRUE,"INT-Table";#N/A,#N/A,TRUE,"STEEL";#N/A,#N/A,TRUE,"Door"}</definedName>
    <definedName name="Q185_HG500">#REF!</definedName>
    <definedName name="Q189_HG500">#REF!</definedName>
    <definedName name="Q255_HG500">#REF!</definedName>
    <definedName name="q2e" hidden="1">#REF!</definedName>
    <definedName name="q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A_QC">#REF!</definedName>
    <definedName name="QASEW" localSheetId="0" hidden="1">Main.SAPF4Help()</definedName>
    <definedName name="QASEW" localSheetId="2" hidden="1">Main.SAPF4Help()</definedName>
    <definedName name="QASEW" localSheetId="1" hidden="1">Main.SAPF4Help()</definedName>
    <definedName name="QASEW" hidden="1">Main.SAPF4Help()</definedName>
    <definedName name="QCP">#REF!</definedName>
    <definedName name="Q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g">"$#ССЫЛ!.$C$10"</definedName>
    <definedName name="qg_1">NA()</definedName>
    <definedName name="QK" hidden="1">{#N/A,#N/A,FALSE,"ihz. icmal";#N/A,#N/A,FALSE,"avans";#N/A,#N/A,FALSE,"mal_FF_icm";#N/A,#N/A,FALSE,"fat_ihz";#N/A,#N/A,FALSE,"söz_fiy_fark";#N/A,#N/A,FALSE,"kap2"}</definedName>
    <definedName name="qkl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L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lmax">#REF!</definedName>
    <definedName name="QO" hidden="1">{#N/A,#N/A,FALSE,"ihz. icmal";#N/A,#N/A,FALSE,"avans";#N/A,#N/A,FALSE,"mal_FF_icm";#N/A,#N/A,FALSE,"fat_ihz";#N/A,#N/A,FALSE,"söz_fiy_fark";#N/A,#N/A,FALSE,"kap2"}</definedName>
    <definedName name="QPL_QTY">#REF!</definedName>
    <definedName name="QPLCODE">#REF!</definedName>
    <definedName name="qpş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_1" hidden="1">{#N/A,#N/A,FALSE,"COVER1.XLS ";#N/A,#N/A,FALSE,"RACT1.XLS";#N/A,#N/A,FALSE,"RACT2.XLS";#N/A,#N/A,FALSE,"ECCMP";#N/A,#N/A,FALSE,"WELDER.XLS"}</definedName>
    <definedName name="qqq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qqq_1" hidden="1">{#N/A,#N/A,TRUE,"Basic";#N/A,#N/A,TRUE,"EXT-TABLE";#N/A,#N/A,TRUE,"STEEL";#N/A,#N/A,TRUE,"INT-Table";#N/A,#N/A,TRUE,"STEEL";#N/A,#N/A,TRUE,"Door"}</definedName>
    <definedName name="qqqq" hidden="1">{"NWN_Q1810",#N/A,FALSE,"Q1810_1.V";"NWN_Q1412",#N/A,FALSE,"Q1412_1"}</definedName>
    <definedName name="qqqq_1" hidden="1">{"NWN_Q1810",#N/A,FALSE,"Q1810_1.V";"NWN_Q1412",#N/A,FALSE,"Q1412_1"}</definedName>
    <definedName name="qqqqq" hidden="1">{#N/A,#N/A,TRUE,"Basic";#N/A,#N/A,TRUE,"EXT-TABLE";#N/A,#N/A,TRUE,"STEEL";#N/A,#N/A,TRUE,"INT-Table";#N/A,#N/A,TRUE,"STEEL";#N/A,#N/A,TRUE,"Door"}</definedName>
    <definedName name="qqqqq_1" hidden="1">{#N/A,#N/A,TRUE,"Basic";#N/A,#N/A,TRUE,"EXT-TABLE";#N/A,#N/A,TRUE,"STEEL";#N/A,#N/A,TRUE,"INT-Table";#N/A,#N/A,TRUE,"STEEL";#N/A,#N/A,TRUE,"Door"}</definedName>
    <definedName name="qqqqqq" hidden="1">{"Output-BaseYear",#N/A,FALSE,"Output"}</definedName>
    <definedName name="qqqqqqq" hidden="1">{#N/A,#N/A,FALSE,"Sum6 (1)"}</definedName>
    <definedName name="QQQQQQQQ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QQQQQQ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qqv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qqw" localSheetId="0" hidden="1">Main.SAPF4Help()</definedName>
    <definedName name="qqw" localSheetId="2" hidden="1">Main.SAPF4Help()</definedName>
    <definedName name="qqw" localSheetId="1" hidden="1">Main.SAPF4Help()</definedName>
    <definedName name="qqw" hidden="1">Main.SAPF4Help()</definedName>
    <definedName name="QR">#REF!</definedName>
    <definedName name="qr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cf_cor">"$#ССЫЛ!.$C$29"</definedName>
    <definedName name="qscf_cor_1">NA()</definedName>
    <definedName name="qsd" hidden="1">{#N/A,#N/A,FALSE,"ihz. icmal";#N/A,#N/A,FALSE,"avans";#N/A,#N/A,FALSE,"mal_FF_icm";#N/A,#N/A,FALSE,"fat_ihz";#N/A,#N/A,FALSE,"söz_fiy_fark";#N/A,#N/A,FALSE,"kap2"}</definedName>
    <definedName name="qse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Qstar">#REF!</definedName>
    <definedName name="QTY">#REF!</definedName>
    <definedName name="Quality_Coding">#REF!</definedName>
    <definedName name="Quality_Variance">#REF!</definedName>
    <definedName name="Query">#REF!</definedName>
    <definedName name="QuickHL005" hidden="1">#REF!</definedName>
    <definedName name="QuickHL007" hidden="1">#REF!</definedName>
    <definedName name="QuickHL008" hidden="1">#REF!</definedName>
    <definedName name="QuickHL016" hidden="1">#REF!</definedName>
    <definedName name="QuickHL018" hidden="1">#REF!</definedName>
    <definedName name="QuickHL032" hidden="1">#REF!</definedName>
    <definedName name="QuickHL034" hidden="1">#REF!</definedName>
    <definedName name="QuickHL036" hidden="1">#REF!</definedName>
    <definedName name="QuickHL039" hidden="1">#REF!</definedName>
    <definedName name="QuickHL040" hidden="1">#REF!</definedName>
    <definedName name="qv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qw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qw3r34q2645">{0;0;0;0;1;1;0.25;0.25;0.25;0.25;2;FALSE;FALSE;FALSE;FALSE;FALSE;#N/A;1;#N/A;1;1;"";""}</definedName>
    <definedName name="qwe">#REF!</definedName>
    <definedName name="qwedcvfghtyjhgb" hidden="1">#REF!</definedName>
    <definedName name="qweqe" hidden="1">#REF!</definedName>
    <definedName name="qweqqqq" hidden="1">{#N/A,#N/A,FALSE,"CCTV"}</definedName>
    <definedName name="qweqweqwe" hidden="1">"I:\Supervision\Confidential\np-364 hdpe pars\rev2\estimate.mdb"</definedName>
    <definedName name="QWER" hidden="1">{#N/A,#N/A,TRUE,"Basic";#N/A,#N/A,TRUE,"EXT-TABLE";#N/A,#N/A,TRUE,"STEEL";#N/A,#N/A,TRUE,"INT-Table";#N/A,#N/A,TRUE,"STEEL";#N/A,#N/A,TRUE,"Door"}</definedName>
    <definedName name="qwerrtt" hidden="1">#REF!</definedName>
    <definedName name="qwert" hidden="1">{#N/A,#N/A,FALSE,"ihz. icmal";#N/A,#N/A,FALSE,"avans";#N/A,#N/A,FALSE,"mal_FF_icm";#N/A,#N/A,FALSE,"fat_ihz";#N/A,#N/A,FALSE,"söz_fiy_fark";#N/A,#N/A,FALSE,"kap2"}</definedName>
    <definedName name="qwerty" hidden="1">#REF!,#REF!,#REF!,#REF!,#REF!,#REF!,#REF!</definedName>
    <definedName name="qwerwerwrr" hidden="1">{#N/A,#N/A,FALSE,"Clients Office";#N/A,#N/A,FALSE,"Co Sum"}</definedName>
    <definedName name="qwrgrtjtyjtyjhthrthbrhgrthgrth" hidden="1">#REF!</definedName>
    <definedName name="qwrwqqwerqwe">#REF!</definedName>
    <definedName name="qws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qwy" hidden="1">{#N/A,#N/A,FALSE,"ihz. icmal";#N/A,#N/A,FALSE,"avans";#N/A,#N/A,FALSE,"mal_FF_icm";#N/A,#N/A,FALSE,"fat_ihz";#N/A,#N/A,FALSE,"söz_fiy_fark";#N/A,#N/A,FALSE,"kap2"}</definedName>
    <definedName name="qxc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yt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QZ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R_1">#REF!</definedName>
    <definedName name="R_2">#REF!</definedName>
    <definedName name="ra">{"A  Assumptions";"B  Sources and Uses";"C  Capitalization";"D  Balance Sheet";"E  Income Statement";"F  Mulitiples";"G  Cash Flow";"H  Reserves"}</definedName>
    <definedName name="rai" hidden="1">{#N/A,#N/A,FALSE,"ZAP_FEB.XLS "}</definedName>
    <definedName name="Rail_Improvement">NA()</definedName>
    <definedName name="Rail_Improvement_1">"$#ССЫЛ!.$E$792:$E$812"</definedName>
    <definedName name="Rail_Tariff_Inflation">NA()</definedName>
    <definedName name="Rail_Tariff_Inflation_1">"$#ССЫЛ!.$E$173:$E$193"</definedName>
    <definedName name="RANGE">#REF!</definedName>
    <definedName name="RANGE01">#REF!</definedName>
    <definedName name="RANGE02">#REF!</definedName>
    <definedName name="RANGE03">#REF!</definedName>
    <definedName name="Range1" hidden="1">#REF!</definedName>
    <definedName name="RangeBarterIn">#REF!</definedName>
    <definedName name="RangeBarterOut">#REF!</definedName>
    <definedName name="RangeBuy">#REF!</definedName>
    <definedName name="RangeBuyerSeller">#REF!</definedName>
    <definedName name="RangeBuyerSellerCapRev">#REF!</definedName>
    <definedName name="RangeBuyerSellerCapRev1">#REF!</definedName>
    <definedName name="RangeCapex">#REF!</definedName>
    <definedName name="RangeCapexTotal">#REF!</definedName>
    <definedName name="RangeCost">#REF!</definedName>
    <definedName name="RangeDemand">#REF!</definedName>
    <definedName name="RangeFeedstockCosts">#REF!</definedName>
    <definedName name="RangeFeedstockCostsDepartment">#REF!</definedName>
    <definedName name="RangeFeedstockCostsProduct">#REF!</definedName>
    <definedName name="RangeFeedstockVolumes">#REF!</definedName>
    <definedName name="RangeFinanceOne">#REF!</definedName>
    <definedName name="RangeFinanceTwo">#REF!</definedName>
    <definedName name="RangeFlow">#REF!</definedName>
    <definedName name="RangeInvest">#REF!</definedName>
    <definedName name="RangeLocation">#REF!</definedName>
    <definedName name="RangeLocationCap">#REF!</definedName>
    <definedName name="RangeLocationHandling">#REF!</definedName>
    <definedName name="RangeLocationProduct">#REF!</definedName>
    <definedName name="RangeMarket">#REF!</definedName>
    <definedName name="RangeMaterial">#REF!</definedName>
    <definedName name="RangeMaterialTransport">#REF!</definedName>
    <definedName name="RangeMC">#REF!</definedName>
    <definedName name="RangeOperatingExpenses">#REF!</definedName>
    <definedName name="RangeOperatingExpensesTotal">#REF!</definedName>
    <definedName name="RangeProcess">#REF!</definedName>
    <definedName name="RangeProcessCap">#REF!</definedName>
    <definedName name="RangeProcessing">#REF!</definedName>
    <definedName name="RangeProcessModeCapRev">#REF!</definedName>
    <definedName name="RangeProcessModeCoefficiens">#REF!</definedName>
    <definedName name="RangeProducer">#REF!</definedName>
    <definedName name="RangeProduct">#REF!</definedName>
    <definedName name="RangeProductBundle">#REF!</definedName>
    <definedName name="RangeProduction">#REF!</definedName>
    <definedName name="RangeProject">#REF!</definedName>
    <definedName name="RangeRentab">#REF!</definedName>
    <definedName name="RangeSalesCustomsDepartment">#REF!</definedName>
    <definedName name="RangeSalesCustomsProduct">#REF!</definedName>
    <definedName name="RangeSalesRevenueDepartment">#REF!</definedName>
    <definedName name="RangeSalesRevenueFlowtype">#REF!</definedName>
    <definedName name="RangeSalesRevenueProcessing">#REF!</definedName>
    <definedName name="RangeSalesRevenueProduct">#REF!</definedName>
    <definedName name="RangeSalesVolumes">#REF!</definedName>
    <definedName name="RangeScenario">#REF!</definedName>
    <definedName name="RangeSell">#REF!</definedName>
    <definedName name="RangeSipPivotFact">#REF!</definedName>
    <definedName name="RangeSipPivotPlan">#REF!</definedName>
    <definedName name="RangeSpending">#REF!</definedName>
    <definedName name="RangeTarrifing">#REF!</definedName>
    <definedName name="RangeTrans">#REF!</definedName>
    <definedName name="RangeTransportationModeCapRev">#REF!</definedName>
    <definedName name="RangeTransportCosts">#REF!</definedName>
    <definedName name="RangeTransportGroup">#REF!</definedName>
    <definedName name="RangeTransportMaterial">#REF!</definedName>
    <definedName name="RangeTZD">#REF!</definedName>
    <definedName name="rarewt" hidden="1">{#N/A,#N/A,FALSE,"CCTV"}</definedName>
    <definedName name="Rate">#REF!</definedName>
    <definedName name="rate1" hidden="1">#REF!</definedName>
    <definedName name="rate2">#REF!</definedName>
    <definedName name="Rating1">#REF!</definedName>
    <definedName name="Rating150">#REF!</definedName>
    <definedName name="Rating1500">#REF!</definedName>
    <definedName name="Rating2">#REF!</definedName>
    <definedName name="Rating2500">#REF!</definedName>
    <definedName name="Rating300">#REF!</definedName>
    <definedName name="Rating300L">#REF!</definedName>
    <definedName name="Rating600">#REF!</definedName>
    <definedName name="Rating900">#REF!</definedName>
    <definedName name="Ratio">#REF!</definedName>
    <definedName name="RBHCPAF2">#REF!</definedName>
    <definedName name="RCArea" hidden="1">#REF!</definedName>
    <definedName name="RCTD">#REF!</definedName>
    <definedName name="rd" localSheetId="0" hidden="1">Main.SAPF4Help()</definedName>
    <definedName name="rd" localSheetId="2" hidden="1">Main.SAPF4Help()</definedName>
    <definedName name="rd" localSheetId="1" hidden="1">Main.SAPF4Help()</definedName>
    <definedName name="rd" hidden="1">Main.SAPF4Help()</definedName>
    <definedName name="read_it">#REF!</definedName>
    <definedName name="Reak_X">#REF!</definedName>
    <definedName name="Reak_Z">#REF!</definedName>
    <definedName name="Reaktoren">#REF!</definedName>
    <definedName name="Reaktoren2">#REF!</definedName>
    <definedName name="REBAR_TYPES">#REF!</definedName>
    <definedName name="recorder.">#REF!</definedName>
    <definedName name="Recoupment">#REF!</definedName>
    <definedName name="RECOUT">#N/A</definedName>
    <definedName name="redo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F_API">#REF!</definedName>
    <definedName name="Ref_Area">IF(#REF!="m",PI()*((VLOOKUP(#REF!,PipeInfo,2,FALSE))/1000)*#REF!,IF(#REF!="m2",#REF!,IF(#REF!="m3",#REF!/(#REF!/1000),0)))</definedName>
    <definedName name="REF_PRINT">#REF!</definedName>
    <definedName name="Ref_Vol">IF(#REF!="m",((((VLOOKUP(#REF!,PipeInfo,2,FALSE)+2*#REF!)/1000)^2/4*PI())-(((VLOOKUP(#REF!,PipeInfo,2,FALSE))/1000)^2/4*PI()))*#REF!,IF(#REF!="m2",#REF!*(#REF!/1000),IF(#REF!="m3",#REF!,0)))</definedName>
    <definedName name="Ref_Wt">IF(ISNA(#REF!),0.02466*#REF!*(#REF!-#REF!)*#REF!/1000,#REF!*#REF!/1000)</definedName>
    <definedName name="Refinery_Cost_Inflation">NA()</definedName>
    <definedName name="Refinery_Cost_Inflation_1">"$#ССЫЛ!.$E$236:$E$256"</definedName>
    <definedName name="RefluxFailure">#REF!</definedName>
    <definedName name="regft" hidden="1">#REF!</definedName>
    <definedName name="RegName">#REF!</definedName>
    <definedName name="ReliefCases">#REF!</definedName>
    <definedName name="Reload_costs_escal">NA()</definedName>
    <definedName name="Reload_costs_escal_1">"$#ССЫЛ!.$E$1914:$E$1934"</definedName>
    <definedName name="Reloading_Inflation">NA()</definedName>
    <definedName name="Reloading_Inflation_1">"$#ССЫЛ!.$E$194:$E$214"</definedName>
    <definedName name="remark_it">#REF!</definedName>
    <definedName name="Remark1">#REF!</definedName>
    <definedName name="Remark10">#REF!</definedName>
    <definedName name="Remark2">#REF!</definedName>
    <definedName name="Remark3">#REF!</definedName>
    <definedName name="Remark4">#REF!</definedName>
    <definedName name="Remark5">#REF!</definedName>
    <definedName name="Remark6">#REF!</definedName>
    <definedName name="Remark7">#REF!</definedName>
    <definedName name="Remark8">#REF!</definedName>
    <definedName name="Remark9">#REF!</definedName>
    <definedName name="rename_of_wrn.CSC" hidden="1">{"page1",#N/A,TRUE,"CSC";"page2",#N/A,TRUE,"CSC"}</definedName>
    <definedName name="RentabRang">#REF!</definedName>
    <definedName name="RentabRange">#REF!</definedName>
    <definedName name="REPLACE">#REF!</definedName>
    <definedName name="REQ">#REF!</definedName>
    <definedName name="REQ_R0">#REF!</definedName>
    <definedName name="REQ_R1">#REF!</definedName>
    <definedName name="RequisitionNo">#REF!</definedName>
    <definedName name="RER" hidden="1">#REF!</definedName>
    <definedName name="RES">#REF!</definedName>
    <definedName name="RES_Q">#REF!</definedName>
    <definedName name="res_sum" hidden="1">{#N/A,#N/A,FALSE,"COVER1.XLS ";#N/A,#N/A,FALSE,"RACT1.XLS";#N/A,#N/A,FALSE,"RACT2.XLS";#N/A,#N/A,FALSE,"ECCMP";#N/A,#N/A,FALSE,"WELDER.XLS"}</definedName>
    <definedName name="res_sum_1" hidden="1">{#N/A,#N/A,FALSE,"COVER1.XLS ";#N/A,#N/A,FALSE,"RACT1.XLS";#N/A,#N/A,FALSE,"RACT2.XLS";#N/A,#N/A,FALSE,"ECCMP";#N/A,#N/A,FALSE,"WELDER.XLS"}</definedName>
    <definedName name="RES_W">#REF!</definedName>
    <definedName name="RES_WELL">#REF!</definedName>
    <definedName name="Retail_Prices_Inflation">NA()</definedName>
    <definedName name="Retail_Prices_Inflation_1">"$#ССЫЛ!.$#ССЫЛ!$#ССЫЛ!:$#ССЫЛ!$#ССЫЛ!"</definedName>
    <definedName name="retg" hidden="1">#REF!</definedName>
    <definedName name="return_activate">#N/A</definedName>
    <definedName name="Rev">#REF!</definedName>
    <definedName name="Rev.">#REF!</definedName>
    <definedName name="Rev_DAT1">#REF!</definedName>
    <definedName name="Rev_DAT2">#REF!</definedName>
    <definedName name="Rev_DAT3">#REF!</definedName>
    <definedName name="Rev_DAT4">#REF!</definedName>
    <definedName name="Rev_DAT5">#REF!</definedName>
    <definedName name="Rev_DAT6">#REF!</definedName>
    <definedName name="Rev_DAT7">#REF!</definedName>
    <definedName name="Rev_DAT8">#REF!</definedName>
    <definedName name="Rev_Des1">#REF!</definedName>
    <definedName name="Rev_Des2">#REF!</definedName>
    <definedName name="Rev_Des3">#REF!</definedName>
    <definedName name="Rev_Des4">#REF!</definedName>
    <definedName name="Rev_Des5">#REF!</definedName>
    <definedName name="Rev_Des6">#REF!</definedName>
    <definedName name="Rev_Des7">#REF!</definedName>
    <definedName name="Rev_Des8">#REF!</definedName>
    <definedName name="Rev_org1">#REF!</definedName>
    <definedName name="Rev_org2">#REF!</definedName>
    <definedName name="Rev_org3">#REF!</definedName>
    <definedName name="Rev_org4">#REF!</definedName>
    <definedName name="Rev_org5">#REF!</definedName>
    <definedName name="Rev_org6">#REF!</definedName>
    <definedName name="Rev_org7">#REF!</definedName>
    <definedName name="Rev_org8">#REF!</definedName>
    <definedName name="rev_sibur">#REF!</definedName>
    <definedName name="Revaluation_GAAP07Переоценка" hidden="1">#REF!</definedName>
    <definedName name="Revaluation_БУ01ПереоценкаПроизв" hidden="1">#REF!</definedName>
    <definedName name="Revision">#REF!</definedName>
    <definedName name="RevisionDate_1">#REF!</definedName>
    <definedName name="REVISIONE">#REF!</definedName>
    <definedName name="RevisionNumber_1">#REF!</definedName>
    <definedName name="rew" hidden="1">{#N/A,#N/A,FALSE,"Aging Summary";#N/A,#N/A,FALSE,"Ratio Analysis";#N/A,#N/A,FALSE,"Test 120 Day Accts";#N/A,#N/A,FALSE,"Tickmarks"}</definedName>
    <definedName name="REWW" hidden="1">#REF!</definedName>
    <definedName name="RF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F_2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FV" hidden="1">{#N/A,#N/A,FALSE,"CCTV"}</definedName>
    <definedName name="RFV_1" hidden="1">{#N/A,#N/A,FALSE,"CCTV"}</definedName>
    <definedName name="rg" hidden="1">{"'Sheet1'!$A$1:$G$96","'Sheet1'!$A$1:$H$96"}</definedName>
    <definedName name="rgfsdh" localSheetId="0" hidden="1">Main.SAPF4Help()</definedName>
    <definedName name="rgfsdh" localSheetId="2" hidden="1">Main.SAPF4Help()</definedName>
    <definedName name="rgfsdh" localSheetId="1" hidden="1">Main.SAPF4Help()</definedName>
    <definedName name="rgfsdh" hidden="1">Main.SAPF4Help()</definedName>
    <definedName name="rgrggw" hidden="1">{0,0}</definedName>
    <definedName name="Rho">#REF!</definedName>
    <definedName name="rhol">#REF!</definedName>
    <definedName name="rhov">#REF!</definedName>
    <definedName name="RID">#REF!</definedName>
    <definedName name="Ring_S">#REF!</definedName>
    <definedName name="RIR">#REF!</definedName>
    <definedName name="Risk_Class">#REF!</definedName>
    <definedName name="RiskAfterRecalcMacro" hidden="1">""</definedName>
    <definedName name="RiskAfterSimMacro" hidden="1">""</definedName>
    <definedName name="riskATSSboxGraph" hidden="1">FALSE</definedName>
    <definedName name="riskATSSincludeSimtables" hidden="1">TRUE</definedName>
    <definedName name="riskATSSinputsGraphs" hidden="1">FALSE</definedName>
    <definedName name="riskATSSoutputStatistic" hidden="1">3</definedName>
    <definedName name="riskATSSpercentChangeGraph" hidden="1">TRUE</definedName>
    <definedName name="riskATSSpercentileGraph" hidden="1">TRUE</definedName>
    <definedName name="riskATSSpercentileValue" hidden="1">0.5</definedName>
    <definedName name="riskATSSprintReport" hidden="1">FALSE</definedName>
    <definedName name="riskATSSreportsInActiveBook" hidden="1">FALSE</definedName>
    <definedName name="riskATSSreportsSelected" hidden="1">TRUE</definedName>
    <definedName name="riskATSSsummaryReport" hidden="1">TRUE</definedName>
    <definedName name="riskATSStornadoGraph" hidden="1">TRUE</definedName>
    <definedName name="RiskAutoStopPercChange">1.5</definedName>
    <definedName name="RiskBeforeRecalcMacro" hidden="1">""</definedName>
    <definedName name="RiskBeforeSimMacro" hidden="1">""</definedName>
    <definedName name="RiskCollectDistributionSamples" hidden="1">2</definedName>
    <definedName name="RiskExcelReportsGoInNewWorkbook">TRUE</definedName>
    <definedName name="RiskExcelReportsToGenerate">0</definedName>
    <definedName name="RiskFixedSeed" hidden="1">1</definedName>
    <definedName name="RiskGenerateExcelReportsAtEndOfSimulation">FALSE</definedName>
    <definedName name="RiskHasSettings" hidden="1">5</definedName>
    <definedName name="RiskHasSettings_1" hidden="1">5</definedName>
    <definedName name="RiskIsOutput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Iterations_1" hidden="1">1000</definedName>
    <definedName name="RiskNumSimulations" hidden="1">1</definedName>
    <definedName name="RiskPauseOnError" hidden="1">FALSE</definedName>
    <definedName name="RiskRealTimeResults">FALSE</definedName>
    <definedName name="RiskReportGraphFormat">0</definedName>
    <definedName name="RiskResultsUpdateFreq">100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2</definedName>
    <definedName name="RiskSelectedCell" hidden="1">"$O$9"</definedName>
    <definedName name="RiskShowRiskWindowAtEndOfSimulation">TRUE</definedName>
    <definedName name="RiskStandardRecalc" hidden="1">1</definedName>
    <definedName name="RiskSwapState" hidden="1">FALSE</definedName>
    <definedName name="RiskTemplateSheetName">"myTemplate"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vetA">#REF!</definedName>
    <definedName name="rjls" hidden="1">{#N/A,#N/A,TRUE,"Basic";#N/A,#N/A,TRUE,"EXT-TABLE";#N/A,#N/A,TRUE,"STEEL";#N/A,#N/A,TRUE,"INT-Table";#N/A,#N/A,TRUE,"STEEL";#N/A,#N/A,TRUE,"Door"}</definedName>
    <definedName name="RKL_Anzahl">#REF!</definedName>
    <definedName name="RKLsuch">#REF!</definedName>
    <definedName name="r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rlhwrhwriwhriw" hidden="1">{#N/A,#N/A,TRUE,"Содержание";#N/A,#N/A,TRUE,"Выработка";#N/A,#N/A,TRUE,"Расход"}</definedName>
    <definedName name="rmk_jb">#REF!</definedName>
    <definedName name="RNAO" hidden="1">{"'장비'!$A$3:$M$12"}</definedName>
    <definedName name="rndoff">#REF!</definedName>
    <definedName name="Rohrklasse">#REF!</definedName>
    <definedName name="roll">#REF!</definedName>
    <definedName name="rows">#REF!,#REF!,#REF!,#REF!,#REF!,#REF!,#REF!</definedName>
    <definedName name="ROYALTY">#REF!</definedName>
    <definedName name="RQ" hidden="1">{#N/A,#N/A,FALSE,"ihz. icmal";#N/A,#N/A,FALSE,"avans";#N/A,#N/A,FALSE,"mal_FF_icm";#N/A,#N/A,FALSE,"fat_ihz";#N/A,#N/A,FALSE,"söz_fiy_fark";#N/A,#N/A,FALSE,"kap2"}</definedName>
    <definedName name="RR">#REF!</definedName>
    <definedName name="RR_1" hidden="1">{#N/A,#N/A,FALSE,"CCTV"}</definedName>
    <definedName name="RR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RERW" hidden="1">{#N/A,#N/A,FALSE,"CCTV"}</definedName>
    <definedName name="RRERW_1" hidden="1">{#N/A,#N/A,FALSE,"CCTV"}</definedName>
    <definedName name="rrr" hidden="1">{#N/A,#N/A,FALSE,"Aging Summary";#N/A,#N/A,FALSE,"Ratio Analysis";#N/A,#N/A,FALSE,"Test 120 Day Accts";#N/A,#N/A,FALSE,"Tickmarks"}</definedName>
    <definedName name="rrrrr" hidden="1">{"NWN_Q1810",#N/A,FALSE,"Q1810_1.V";"NWN_Q1412",#N/A,FALSE,"Q1412_1"}</definedName>
    <definedName name="rrrrr_1" hidden="1">{"NWN_Q1810",#N/A,FALSE,"Q1810_1.V";"NWN_Q1412",#N/A,FALSE,"Q1412_1"}</definedName>
    <definedName name="rrrrrrr" hidden="1">#REF!</definedName>
    <definedName name="RS">49</definedName>
    <definedName name="RSA_all">#REF!</definedName>
    <definedName name="RSA_BS1">#REF!</definedName>
    <definedName name="RSA_FS">#REF!</definedName>
    <definedName name="RSA_PL1">#REF!</definedName>
    <definedName name="RSDF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SDF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RT">#REF!</definedName>
    <definedName name="rtg" hidden="1">{"'Sheet1'!$A$1:$G$96","'Sheet1'!$A$1:$H$96"}</definedName>
    <definedName name="RtimeEnd">#REF!</definedName>
    <definedName name="RtimeStart">#REF!</definedName>
    <definedName name="rtp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Y">#REF!</definedName>
    <definedName name="rtyh" hidden="1">#REF!</definedName>
    <definedName name="RTYU" localSheetId="0" hidden="1">Main.SAPF4Help()</definedName>
    <definedName name="RTYU" localSheetId="2" hidden="1">Main.SAPF4Help()</definedName>
    <definedName name="RTYU" localSheetId="1" hidden="1">Main.SAPF4Help()</definedName>
    <definedName name="RTYU" hidden="1">Main.SAPF4Help()</definedName>
    <definedName name="rtyui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RUR">#REF!</definedName>
    <definedName name="RUS_ИтогоКонПериода" hidden="1">#REF!</definedName>
    <definedName name="RUS_ИтогоНачПериода" hidden="1">#REF!</definedName>
    <definedName name="RUS_СКАмортизация" hidden="1">#REF!</definedName>
    <definedName name="RUS_СКБУОстатСтоимостьСоц" hidden="1">#REF!</definedName>
    <definedName name="RUS_СКДобАктивы" hidden="1">#REF!</definedName>
    <definedName name="RUS_СКИстощение" hidden="1">#REF!</definedName>
    <definedName name="RUS_СККапвложения" hidden="1">#REF!</definedName>
    <definedName name="RUS_СКОС100" hidden="1">#REF!</definedName>
    <definedName name="RUS_СКОС101" hidden="1">#REF!</definedName>
    <definedName name="RUS_СКОС102" hidden="1">#REF!</definedName>
    <definedName name="RUS_СКОС103" hidden="1">#REF!</definedName>
    <definedName name="RUS_СКОС104" hidden="1">#REF!</definedName>
    <definedName name="RUS_СКОС105" hidden="1">#REF!</definedName>
    <definedName name="RUS_СКОС106" hidden="1">#REF!</definedName>
    <definedName name="RUS_СКОС107" hidden="1">#REF!</definedName>
    <definedName name="RUS_СКОС114" hidden="1">#REF!</definedName>
    <definedName name="RUS_СНАмортизация" hidden="1">#REF!</definedName>
    <definedName name="RUS_СНБУОстатСтоимостьСоц" hidden="1">#REF!</definedName>
    <definedName name="RUS_СНДобАктивы" hidden="1">#REF!</definedName>
    <definedName name="RUS_СНИстощение" hidden="1">#REF!</definedName>
    <definedName name="RUS_СНКапвложения" hidden="1">#REF!</definedName>
    <definedName name="RUS_СНОС100" hidden="1">#REF!</definedName>
    <definedName name="RUS_СНОС101" hidden="1">#REF!</definedName>
    <definedName name="RUS_СНОС102" hidden="1">#REF!</definedName>
    <definedName name="RUS_СНОС103" hidden="1">#REF!</definedName>
    <definedName name="RUS_СНОС104" hidden="1">#REF!</definedName>
    <definedName name="RUS_СНОС105" hidden="1">#REF!</definedName>
    <definedName name="RUS_СНОС106" hidden="1">#REF!</definedName>
    <definedName name="RUS_СНОС107" hidden="1">#REF!</definedName>
    <definedName name="RUS_СНОС114" hidden="1">#REF!</definedName>
    <definedName name="Russia_Crude_Prod_Growth">NA()</definedName>
    <definedName name="Russia_Crude_Prod_Growth_1">"$#ССЫЛ!.$E$645:$E$665"</definedName>
    <definedName name="Russia_Transneft_Deliveries">NA()</definedName>
    <definedName name="Russia_Transneft_Deliveries_1">"$#ССЫЛ!.$E$666:$E$686"</definedName>
    <definedName name="RV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RV_1" hidden="1">{"NWN_Q1810",#N/A,FALSE,"Q1810_1.V";"NWN_Q1412",#N/A,FALSE,"Q1412_1"}</definedName>
    <definedName name="s" hidden="1">{#N/A,#N/A,FALSE,"Aging Summary";#N/A,#N/A,FALSE,"Ratio Analysis";#N/A,#N/A,FALSE,"Test 120 Day Accts";#N/A,#N/A,FALSE,"Tickmarks"}</definedName>
    <definedName name="ş" hidden="1">{#N/A,#N/A,FALSE,"ihz. icmal";#N/A,#N/A,FALSE,"avans";#N/A,#N/A,FALSE,"mal_FF_icm";#N/A,#N/A,FALSE,"fat_ihz";#N/A,#N/A,FALSE,"söz_fiy_fark";#N/A,#N/A,FALSE,"kap2"}</definedName>
    <definedName name="S.Alacan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.HAKAN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_CODE" hidden="1">#REF!</definedName>
    <definedName name="s_NAME" hidden="1">#REF!</definedName>
    <definedName name="s_SCENARIO_NAME" hidden="1">#REF!</definedName>
    <definedName name="s_YEAR" hidden="1">#REF!</definedName>
    <definedName name="sa" hidden="1">{#N/A,#N/A,FALSE,"ihz. icmal";#N/A,#N/A,FALSE,"avans";#N/A,#N/A,FALSE,"mal_FF_icm";#N/A,#N/A,FALSE,"fat_ihz";#N/A,#N/A,FALSE,"söz_fiy_fark";#N/A,#N/A,FALSE,"kap2"}</definedName>
    <definedName name="SADAD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AD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adf" hidden="1">{"INST_DPG",#N/A,FALSE,"INST"}</definedName>
    <definedName name="sadfas" hidden="1">#REF!</definedName>
    <definedName name="sadfasfasdfasdfasdfas">#REF!</definedName>
    <definedName name="safety">#REF!</definedName>
    <definedName name="safety_bar">#REF!</definedName>
    <definedName name="safety1">#REF!</definedName>
    <definedName name="sajdD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salary1">#REF!</definedName>
    <definedName name="salary2">#REF!</definedName>
    <definedName name="salary3">#REF!</definedName>
    <definedName name="sales2" hidden="1">{#N/A,#N/A,FALSE,"Aging Summary";#N/A,#N/A,FALSE,"Ratio Analysis";#N/A,#N/A,FALSE,"Test 120 Day Accts";#N/A,#N/A,FALSE,"Tickmarks"}</definedName>
    <definedName name="SAM" hidden="1">{#N/A,#N/A,TRUE,"Basic";#N/A,#N/A,TRUE,"EXT-TABLE";#N/A,#N/A,TRUE,"STEEL";#N/A,#N/A,TRUE,"INT-Table";#N/A,#N/A,TRUE,"STEEL";#N/A,#N/A,TRUE,"Door"}</definedName>
    <definedName name="sample">#REF!</definedName>
    <definedName name="ŞAN.DIŞ.İHZ.TUT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njay" hidden="1">{#N/A,#N/A,FALSE,"TABLE"}</definedName>
    <definedName name="SAPBEXhrIndnt" hidden="1">1</definedName>
    <definedName name="SAPBEXrevision" hidden="1">1</definedName>
    <definedName name="SAPBEXsysID" hidden="1">"RNW"</definedName>
    <definedName name="SAPBEXsysID_1" hidden="1">"RNW"</definedName>
    <definedName name="SAPBEXwbID" hidden="1">"BL3EEFI3L06M2TPQQPXUMU9BS"</definedName>
    <definedName name="SAPBEXwbID_1" hidden="1">"BL3EEFI3L06M2TPQQPXUMU9BS"</definedName>
    <definedName name="SAPFuncF4Help" localSheetId="0" hidden="1">Main.SAPF4Help()</definedName>
    <definedName name="SAPFuncF4Help" localSheetId="2" hidden="1">Main.SAPF4Help()</definedName>
    <definedName name="SAPFuncF4Help" localSheetId="1" hidden="1">Main.SAPF4Help()</definedName>
    <definedName name="SAPFuncF4Help" hidden="1">Main.SAPF4Help()</definedName>
    <definedName name="SAPFuncF4Help2" localSheetId="0" hidden="1">Main.SAPF4Help()</definedName>
    <definedName name="SAPFuncF4Help2" localSheetId="2" hidden="1">Main.SAPF4Help()</definedName>
    <definedName name="SAPFuncF4Help2" localSheetId="1" hidden="1">Main.SAPF4Help()</definedName>
    <definedName name="SAPFuncF4Help2" hidden="1">Main.SAPF4Help()</definedName>
    <definedName name="SAPRangePOPER_Tabelle3_Tabelle3D1">#REF!</definedName>
    <definedName name="SAPRangeRYEAR_Tabelle3_Tabelle3D1">#REF!</definedName>
    <definedName name="SAPsysID" hidden="1">"708C5W7SBKP804JT78WJ0JNKI"</definedName>
    <definedName name="SAPTrigger_Лист1_Амортизация">#REF!</definedName>
    <definedName name="SAPTrigger_Лист1_ДебКредЗадолж">#REF!</definedName>
    <definedName name="SAPTrigger_Лист1_ДолгосрИнвестФинВлож">#REF!</definedName>
    <definedName name="SAPTrigger_Лист1_ДоходнВлож">#REF!</definedName>
    <definedName name="SAPTrigger_Лист1_Затр1">#REF!</definedName>
    <definedName name="SAPTrigger_Лист1_Затраты">#REF!</definedName>
    <definedName name="SAPTrigger_Лист1_НИОКР">#REF!</definedName>
    <definedName name="SAPTrigger_Лист1_НМА">#REF!</definedName>
    <definedName name="SAPTrigger_Лист1_Обеспеч">#REF!</definedName>
    <definedName name="SAPTrigger_Лист1_Обесреч">#REF!</definedName>
    <definedName name="SAPTrigger_Лист1_ФинансВложения">#REF!</definedName>
    <definedName name="SAPTrigger_Лист1_ФинВлож">#REF!</definedName>
    <definedName name="SAPTrigger_Лист1_ФинВлож1">#REF!</definedName>
    <definedName name="SAPTrigger_Лист14_Внеш_нефть">#REF!</definedName>
    <definedName name="SAPTrigger_Лист14_Внеш_рынок">#REF!</definedName>
    <definedName name="SAPTrigger_Лист14_Форма24">#REF!</definedName>
    <definedName name="SAPTrigger_Лист17_Тоннаж">#REF!</definedName>
    <definedName name="SAPTrigger_Лист17_Форма6_Таб6">#REF!</definedName>
    <definedName name="SAPTrigger_Лист18_Внеш_нефть">#REF!</definedName>
    <definedName name="SAPTrigger_Лист18_Внеш_нефть_дочки">#REF!</definedName>
    <definedName name="SAPTrigger_Лист18_Внеш_рынок">#REF!</definedName>
    <definedName name="SAPTrigger_Лист18_Внеш_рынок_дочки">#REF!</definedName>
    <definedName name="SAPTrigger_Лист18_Выборка_прочих">#REF!</definedName>
    <definedName name="SAPTrigger_Лист18_Форма5_Таб5">#REF!</definedName>
    <definedName name="SAPTrigger_Лист18_Форма5_Таб5_Дочки">#REF!</definedName>
    <definedName name="SAPTrigger_Лист20_Дивидынды">#REF!</definedName>
    <definedName name="SAPTrigger_Лист20_Форма2">#REF!</definedName>
    <definedName name="SAPTrigger_Лист20_Форма21">#REF!</definedName>
    <definedName name="SAPTrigger_Лист24_Дивиденты">#REF!</definedName>
    <definedName name="SAPTrigger_Лист24_Резервы">#REF!</definedName>
    <definedName name="SAPTrigger_Лист24_Резервы1">#REF!</definedName>
    <definedName name="SAPTrigger_Лист24_Справки">#REF!</definedName>
    <definedName name="SAPTrigger_Лист24_Справки1">#REF!</definedName>
    <definedName name="SAPTrigger_Лист24_Ф3годБез2">#REF!</definedName>
    <definedName name="SAPTrigger_Лист24_Ф3ПрошлГод">#REF!</definedName>
    <definedName name="SAPTrigger_Лист24_Ф3ТекущГод">#REF!</definedName>
    <definedName name="SAPTrigger_Лист24_Форма2_1">#REF!</definedName>
    <definedName name="SAPTrigger_Лист25_Форма1_Таб1">#REF!</definedName>
    <definedName name="SAPTrigger_Лист36_Форма4">#REF!</definedName>
    <definedName name="SAPTrigger_Лист36_Форма41">#REF!</definedName>
    <definedName name="SAPTrigger_Лист4_Лист4D1">#REF!</definedName>
    <definedName name="SAPTrigger_Лист6_КапиталИскл">#REF!</definedName>
    <definedName name="SAPTrigger_Лист6_Сальдо_движ_капитала">#REF!</definedName>
    <definedName name="SAPTrigger_Лист6_Ф1Искл">#REF!</definedName>
    <definedName name="SAPTrigger_Лист6_Форма_1_last_year">#REF!</definedName>
    <definedName name="SAPTrigger_Лист6_Форма1">#REF!</definedName>
    <definedName name="SAPwbID" hidden="1">"ARS"</definedName>
    <definedName name="SAR">#REF!</definedName>
    <definedName name="sasa" hidden="1">{#N/A,#N/A,FALSE,"CCTV"}</definedName>
    <definedName name="sasa_1" hidden="1">{#N/A,#N/A,FALSE,"CCTV"}</definedName>
    <definedName name="sasda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Sattel">#REF!</definedName>
    <definedName name="Save">#N/A</definedName>
    <definedName name="save_it">#REF!</definedName>
    <definedName name="save_pro">#REF!</definedName>
    <definedName name="SBMTLC">#REF!</definedName>
    <definedName name="SBNONMTLC">#REF!</definedName>
    <definedName name="Scale_up_Factor">#REF!</definedName>
    <definedName name="Scale_up_Factore">#REF!</definedName>
    <definedName name="Scale_up_Faktor_2">#REF!</definedName>
    <definedName name="Scale18months">#REF!</definedName>
    <definedName name="Scale22months">#REF!</definedName>
    <definedName name="Scale27months">#REF!</definedName>
    <definedName name="Scale32months">#REF!</definedName>
    <definedName name="Scale36months">#REF!</definedName>
    <definedName name="Scalemaster">#REF!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n_date2" hidden="1">34251.8466087963</definedName>
    <definedName name="scen_date3" hidden="1">34251.8467476852</definedName>
    <definedName name="scen_date4" hidden="1">34251.8470138889</definedName>
    <definedName name="scen_name2" hidden="1">"OIL PRICE"</definedName>
    <definedName name="scen_name3" hidden="1">"INVESTMENTS"</definedName>
    <definedName name="scen_name4" hidden="1">"VAR.EXPENSES"</definedName>
    <definedName name="scen_user1" hidden="1">"PLUSPETROL"</definedName>
    <definedName name="scen_user2" hidden="1">"PLUSPETROL"</definedName>
    <definedName name="scen_user3" hidden="1">"PLUSPETROL"</definedName>
    <definedName name="scen_user4" hidden="1">"PLUSPETROL"</definedName>
    <definedName name="Scenario">NA()</definedName>
    <definedName name="Scenario_1">"$#ССЫЛ!.$D$5"</definedName>
    <definedName name="SCH">#REF!</definedName>
    <definedName name="sch_LIST">#REF!</definedName>
    <definedName name="Sch_or_Thk_per_Class">#REF!</definedName>
    <definedName name="Schall">#REF!</definedName>
    <definedName name="şçl" localSheetId="0" hidden="1">Main.SAPF4Help()</definedName>
    <definedName name="şçl" localSheetId="2" hidden="1">Main.SAPF4Help()</definedName>
    <definedName name="şçl" localSheetId="1" hidden="1">Main.SAPF4Help()</definedName>
    <definedName name="şçl" hidden="1">Main.SAPF4Help()</definedName>
    <definedName name="SCOPE">#REF!</definedName>
    <definedName name="SCRUBBER">#N/A</definedName>
    <definedName name="s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d" hidden="1">{"'Sheet1'!$A$1:$G$96","'Sheet1'!$A$1:$H$96"}</definedName>
    <definedName name="SDDFF" hidden="1">#REF!</definedName>
    <definedName name="sdf">#REF!</definedName>
    <definedName name="sdfasddfds" hidden="1">#REF!</definedName>
    <definedName name="SDFASDF">IF(#REF!="m",((((VLOOKUP(#REF!,PipeInfo,2,FALSE)+2*#REF!)/1000)^2/4*PI())-(((VLOOKUP(#REF!,PipeInfo,2,FALSE))/1000)^2/4*PI()))*#REF!,IF(#REF!="m2",#REF!*(#REF!/1000),IF(#REF!="m3",#REF!,0)))</definedName>
    <definedName name="sdfds">#REF!</definedName>
    <definedName name="sdfhds" hidden="1">#REF!</definedName>
    <definedName name="SDFSDA" hidden="1">{#N/A,#N/A,FALSE,"CCTV"}</definedName>
    <definedName name="sdfwsdsw" hidden="1">#REF!</definedName>
    <definedName name="sdga" hidden="1">{#N/A,#N/A,TRUE,"Basic";#N/A,#N/A,TRUE,"EXT-TABLE";#N/A,#N/A,TRUE,"STEEL";#N/A,#N/A,TRUE,"INT-Table";#N/A,#N/A,TRUE,"STEEL";#N/A,#N/A,TRUE,"Door"}</definedName>
    <definedName name="sdga_1" hidden="1">{#N/A,#N/A,TRUE,"Basic";#N/A,#N/A,TRUE,"EXT-TABLE";#N/A,#N/A,TRUE,"STEEL";#N/A,#N/A,TRUE,"INT-Table";#N/A,#N/A,TRUE,"STEEL";#N/A,#N/A,TRUE,"Door"}</definedName>
    <definedName name="sdgggghgh" hidden="1">#REF!</definedName>
    <definedName name="sdr" hidden="1">#REF!</definedName>
    <definedName name="sdsdg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dsds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search_to">#REF!</definedName>
    <definedName name="Secondary1">#REF!</definedName>
    <definedName name="Secondary2">#REF!</definedName>
    <definedName name="Secondary3">#REF!</definedName>
    <definedName name="SECT">#REF!</definedName>
    <definedName name="Section">#REF!</definedName>
    <definedName name="SectionHeight">#REF!</definedName>
    <definedName name="sef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Sel_cmpnt_mfr_id_001">#REF!</definedName>
    <definedName name="Sel_cmpnt_mod_id_001">#REF!</definedName>
    <definedName name="Sel_pd_dens_uid_001">#REF!</definedName>
    <definedName name="Sel_pd_max_shut_off_press_dif_uid_001">#REF!</definedName>
    <definedName name="Sel_pd_press_drp_uid_001">#REF!</definedName>
    <definedName name="Sel_pd_temp_uid_001">#REF!</definedName>
    <definedName name="Sel_pd_visc_uid_001">#REF!</definedName>
    <definedName name="select_no">#REF!</definedName>
    <definedName name="Sen_Sup_Rate">#REF!</definedName>
    <definedName name="sencount" hidden="1">1</definedName>
    <definedName name="ser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erialno">#REF!</definedName>
    <definedName name="Service">#REF!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F">1.1948</definedName>
    <definedName name="SF4201totkvar">#REF!</definedName>
    <definedName name="SF4201totkW">#REF!</definedName>
    <definedName name="SFADGFA" hidden="1">{#N/A,#N/A,TRUE,"Basic";#N/A,#N/A,TRUE,"EXT-TABLE";#N/A,#N/A,TRUE,"STEEL";#N/A,#N/A,TRUE,"INT-Table";#N/A,#N/A,TRUE,"STEEL";#N/A,#N/A,TRUE,"Door"}</definedName>
    <definedName name="SFD" hidden="1">{#N/A,#N/A,FALSE,"CCTV"}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hidden="1">#REF!</definedName>
    <definedName name="SFR">#REF!</definedName>
    <definedName name="sgbd">#REF!</definedName>
    <definedName name="SGD">#REF!</definedName>
    <definedName name="SGD_NTD">#REF!</definedName>
    <definedName name="SGR_A">#REF!</definedName>
    <definedName name="SGR_A_EXTRA">#REF!</definedName>
    <definedName name="SGR_B">#REF!</definedName>
    <definedName name="SGR_B_EXTRA">#REF!</definedName>
    <definedName name="SGR_BULK_A">#REF!</definedName>
    <definedName name="SGR_BULK_B">#REF!</definedName>
    <definedName name="SGR_BULK_C">#REF!</definedName>
    <definedName name="SGR_BULK_D">#REF!</definedName>
    <definedName name="SGR_BULK_E">#REF!</definedName>
    <definedName name="SGR_BULK_F">#REF!</definedName>
    <definedName name="SGR_BULK_G">#REF!</definedName>
    <definedName name="SGR_BULK_H">#REF!</definedName>
    <definedName name="SGR_C">#REF!</definedName>
    <definedName name="SGR_C_EXTRA">#REF!</definedName>
    <definedName name="SGR_D">#REF!</definedName>
    <definedName name="SGR_D_EXTRA">#REF!</definedName>
    <definedName name="SGR_DIFF_A">#REF!</definedName>
    <definedName name="SGR_DIFF_B">#REF!</definedName>
    <definedName name="SGR_DIFF_C">#REF!</definedName>
    <definedName name="SGR_DIFF_D">#REF!</definedName>
    <definedName name="SGR_DIFF_E">#REF!</definedName>
    <definedName name="SGR_DIFF_F">#REF!</definedName>
    <definedName name="SGR_DIFF_G">#REF!</definedName>
    <definedName name="SGR_DIFF_H">#REF!</definedName>
    <definedName name="SGR_E">#REF!</definedName>
    <definedName name="SGR_E_EXTRA">#REF!</definedName>
    <definedName name="SGR_F">#REF!</definedName>
    <definedName name="SGR_F_EXTRA">#REF!</definedName>
    <definedName name="SGR_G">#REF!</definedName>
    <definedName name="SGR_G_EXTRA">#REF!</definedName>
    <definedName name="SGR_H">#REF!</definedName>
    <definedName name="SGR_H_EXTRA">#REF!</definedName>
    <definedName name="SGR_I">#REF!</definedName>
    <definedName name="SGR_I_EXTRA">#REF!</definedName>
    <definedName name="SGR_J">#REF!</definedName>
    <definedName name="SGR_J_EXTRA">#REF!</definedName>
    <definedName name="SGR_K">#REF!</definedName>
    <definedName name="SGR_K_EXTRA">#REF!</definedName>
    <definedName name="SGR_L">#REF!</definedName>
    <definedName name="SGR_L_EXTRA">#REF!</definedName>
    <definedName name="SGR_M">#REF!</definedName>
    <definedName name="SGR_M_EXTRA">#REF!</definedName>
    <definedName name="SGR_N">#REF!</definedName>
    <definedName name="SGR_N_EXTRA">#REF!</definedName>
    <definedName name="SGR_OPT_A">#REF!</definedName>
    <definedName name="SGR_OPT_B">#REF!</definedName>
    <definedName name="SGR_OPT_C">#REF!</definedName>
    <definedName name="SGR_OPT_D">#REF!</definedName>
    <definedName name="SGR_OPT_E">#REF!</definedName>
    <definedName name="SGR_OPT_F">#REF!</definedName>
    <definedName name="SGR_OPT_G">#REF!</definedName>
    <definedName name="SGR_OPT_H">#REF!</definedName>
    <definedName name="SGR_SONDER_A">#REF!</definedName>
    <definedName name="SGR_SONDER_B">#REF!</definedName>
    <definedName name="SGR_SONDER_C">#REF!</definedName>
    <definedName name="SGR_SONDER_D">#REF!</definedName>
    <definedName name="SGR_SONDER_E">#REF!</definedName>
    <definedName name="SGR_SONDER_F">#REF!</definedName>
    <definedName name="SGR_SONDER_G">#REF!</definedName>
    <definedName name="SGR_SONDER_H">#REF!</definedName>
    <definedName name="sgsgs" hidden="1">{#N/A,#N/A,FALSE,"ihz. icmal";#N/A,#N/A,FALSE,"avans";#N/A,#N/A,FALSE,"mal_FF_icm";#N/A,#N/A,FALSE,"fat_ihz";#N/A,#N/A,FALSE,"söz_fiy_fark";#N/A,#N/A,FALSE,"kap2"}</definedName>
    <definedName name="sgw">NA()</definedName>
    <definedName name="sgw_1">NA()</definedName>
    <definedName name="SH_M">#REF!</definedName>
    <definedName name="SH_WT">#REF!</definedName>
    <definedName name="SHEET">#REF!</definedName>
    <definedName name="Sheet_02">#REF!</definedName>
    <definedName name="Sheet_03">#REF!</definedName>
    <definedName name="Sheet_04">#REF!</definedName>
    <definedName name="Sheet_05">#REF!</definedName>
    <definedName name="Sheet_06">#REF!</definedName>
    <definedName name="sheet_7_10">#REF!</definedName>
    <definedName name="Sheet_int">#REF!</definedName>
    <definedName name="Sheet_kp">#REF!</definedName>
    <definedName name="Sheet_mr">#REF!</definedName>
    <definedName name="sheet1" hidden="1">{#N/A,#N/A,FALSE,"Clients Office";#N/A,#N/A,FALSE,"Co Sum"}</definedName>
    <definedName name="Sheet1_BNE_MESSAGES" hidden="1">#REF!</definedName>
    <definedName name="Sheet1_BNE_MESSAGES_HIDDEN" hidden="1">#REF!</definedName>
    <definedName name="Sheet1_BNE_MESSAGES_LAMP" hidden="1">#REF!</definedName>
    <definedName name="Sheet1_BNE_UPLOAD" hidden="1">#REF!</definedName>
    <definedName name="Sheet1_GL_INTERFACE_ACCOUNTING_DATE" hidden="1">#REF!</definedName>
    <definedName name="Sheet1_GL_INTERFACE_ACTUAL_FLAG" hidden="1">#REF!</definedName>
    <definedName name="Sheet1_GL_INTERFACE_CURRENCY_CODE" hidden="1">#REF!</definedName>
    <definedName name="Sheet1_GL_INTERFACE_DATABASE" hidden="1">#REF!</definedName>
    <definedName name="Sheet1_GL_INTERFACE_ENTERED_CR" hidden="1">#REF!</definedName>
    <definedName name="Sheet1_GL_INTERFACE_ENTERED_DR" hidden="1">#REF!</definedName>
    <definedName name="Sheet1_GL_INTERFACE_GROUP_ID" hidden="1">#REF!</definedName>
    <definedName name="Sheet1_GL_INTERFACE_ORIGINATING_BAL_SEG_VALUE" hidden="1">#REF!</definedName>
    <definedName name="Sheet1_GL_INTERFACE_REFERENCE1" hidden="1">#REF!</definedName>
    <definedName name="Sheet1_GL_INTERFACE_REFERENCE10" hidden="1">#REF!</definedName>
    <definedName name="Sheet1_GL_INTERFACE_REFERENCE4" hidden="1">#REF!</definedName>
    <definedName name="Sheet1_GL_INTERFACE_REFERENCE5" hidden="1">#REF!</definedName>
    <definedName name="Sheet1_GL_INTERFACE_REFERENCE6" hidden="1">#REF!</definedName>
    <definedName name="Sheet1_GL_INTERFACE_REFERENCE7" hidden="1">#REF!</definedName>
    <definedName name="Sheet1_GL_INTERFACE_REFERENCE8" hidden="1">#REF!</definedName>
    <definedName name="Sheet1_GL_INTERFACE_SEGMENT1" hidden="1">#REF!</definedName>
    <definedName name="Sheet1_GL_INTERFACE_SEGMENT2" hidden="1">#REF!</definedName>
    <definedName name="Sheet1_GL_INTERFACE_SEGMENT3" hidden="1">#REF!</definedName>
    <definedName name="Sheet1_GL_INTERFACE_SEGMENT4" hidden="1">#REF!</definedName>
    <definedName name="Sheet1_GL_INTERFACE_SEGMENT5" hidden="1">#REF!</definedName>
    <definedName name="Sheet1_GL_INTERFACE_SEGMENT6" hidden="1">#REF!</definedName>
    <definedName name="Sheet1_GL_INTERFACE_SEGMENT7" hidden="1">#REF!</definedName>
    <definedName name="Sheet1_GL_INTERFACE_SET_OF_BOOKS_ID" hidden="1">#REF!</definedName>
    <definedName name="Sheet1_GL_INTERFACE_STAT_AMOUNT" hidden="1">#REF!</definedName>
    <definedName name="Sheet1_GL_INTERFACE_USER_JE_CATEGORY_NAME" hidden="1">#REF!</definedName>
    <definedName name="Sheet1_GL_INTERFACE_USER_JE_SOURCE_NAME" hidden="1">#REF!</definedName>
    <definedName name="SheetNoContd">#REF!</definedName>
    <definedName name="SheetNumber" localSheetId="0">#REF!</definedName>
    <definedName name="SheetNumber" localSheetId="2">#REF!</definedName>
    <definedName name="SheetNumber" localSheetId="1">#REF!</definedName>
    <definedName name="SheetNumber">#REF!</definedName>
    <definedName name="SheetNumberNext" localSheetId="0">#REF!</definedName>
    <definedName name="SheetNumberNext" localSheetId="2">#REF!</definedName>
    <definedName name="SheetNumberNext" localSheetId="1">#REF!</definedName>
    <definedName name="SheetNumberNext">#REF!</definedName>
    <definedName name="sheets" hidden="1">{#N/A,#N/A,FALSE,"Field Rates";#N/A,#N/A,FALSE,"Field Sum"}</definedName>
    <definedName name="SheetsRegenerate">#REF!</definedName>
    <definedName name="SHELL_SIDE_MATL">#REF!</definedName>
    <definedName name="SHELTER" hidden="1">{#N/A,#N/A,TRUE,"Basic";#N/A,#N/A,TRUE,"EXT-TABLE";#N/A,#N/A,TRUE,"STEEL";#N/A,#N/A,TRUE,"INT-Table";#N/A,#N/A,TRUE,"STEEL";#N/A,#N/A,TRUE,"Door"}</definedName>
    <definedName name="Shet">#REF!</definedName>
    <definedName name="shit" hidden="1">{#N/A,#N/A,FALSE,"Aging Summary";#N/A,#N/A,FALSE,"Ratio Analysis";#N/A,#N/A,FALSE,"Test 120 Day Accts";#N/A,#N/A,FALSE,"Tickmarks"}</definedName>
    <definedName name="shit1" hidden="1">{#N/A,#N/A,FALSE,"Aging Summary";#N/A,#N/A,FALSE,"Ratio Analysis";#N/A,#N/A,FALSE,"Test 120 Day Accts";#N/A,#N/A,FALSE,"Tickmarks"}</definedName>
    <definedName name="shjahdAJ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ShopHandFittH">#REF!</definedName>
    <definedName name="ShopHandFittS">#REF!</definedName>
    <definedName name="ShopHB">#REF!</definedName>
    <definedName name="ShopSB">#REF!</definedName>
    <definedName name="SHORE">#REF!</definedName>
    <definedName name="SHOREE">#REF!</definedName>
    <definedName name="shout">#REF!</definedName>
    <definedName name="showunits" hidden="1">#REF!</definedName>
    <definedName name="showunits1" hidden="1">#REF!</definedName>
    <definedName name="SHRIK" hidden="1">#REF!</definedName>
    <definedName name="Sign1">#REF!</definedName>
    <definedName name="Sign2">#REF!</definedName>
    <definedName name="Sign3">#REF!</definedName>
    <definedName name="Sign4">#REF!</definedName>
    <definedName name="Signature_Part">#REF!</definedName>
    <definedName name="simsalabim" localSheetId="0" hidden="1">IF(COUNTIF(pumpurum,#REF!)=1,"есть","нет")</definedName>
    <definedName name="simsalabim" localSheetId="2" hidden="1">IF(COUNTIF(pumpurum,#REF!)=1,"есть","нет")</definedName>
    <definedName name="simsalabim" localSheetId="1" hidden="1">IF(COUNTIF(pumpurum,#REF!)=1,"есть","нет")</definedName>
    <definedName name="simsalabim" hidden="1">IF(COUNTIF(pumpurum,#REF!)=1,"есть","нет")</definedName>
    <definedName name="Site">#REF!</definedName>
    <definedName name="Site_Rate">#REF!</definedName>
    <definedName name="SIZE">#REF!</definedName>
    <definedName name="Size1">#REF!</definedName>
    <definedName name="Size2">#REF!</definedName>
    <definedName name="skfjksfjksfs" hidden="1">{#N/A,#N/A,FALSE,"OVERVIEW 98";#N/A,#N/A,FALSE,"PMD 98  to 2000";#N/A,#N/A,FALSE,"SMD 98 to 2000";#N/A,#N/A,FALSE,"Facilities98";#N/A,#N/A,FALSE,"Quality"}</definedName>
    <definedName name="skflskfsf" hidden="1">{#N/A,#N/A,TRUE,"Содержание";#N/A,#N/A,TRUE,"Выработка";#N/A,#N/A,TRUE,"Расход"}</definedName>
    <definedName name="SKR">#REF!</definedName>
    <definedName name="SL">#REF!</definedName>
    <definedName name="SLAV_Production">NA()</definedName>
    <definedName name="SLAV_Production_1">"$#ССЫЛ!.$E$855:$E$875"</definedName>
    <definedName name="Slavneft_Share_Russia">NA()</definedName>
    <definedName name="Slavneft_Share_Russia_1">"$#ССЫЛ!.$E$876:$E$896"</definedName>
    <definedName name="slsf" hidden="1">{#N/A,#N/A,TRUE,"Содержание";#N/A,#N/A,TRUE,"Выработка";#N/A,#N/A,TRUE,"Расход"}</definedName>
    <definedName name="SmallPictureLeft">#REF!</definedName>
    <definedName name="SmallPictureLeftDown">#REF!</definedName>
    <definedName name="SmallPictureRight">#REF!</definedName>
    <definedName name="smet" hidden="1">{#N/A,#N/A,FALSE,"Себестоимсть-97"}</definedName>
    <definedName name="smet1" hidden="1">{#N/A,#N/A,FALSE,"Себестоимсть-97"}</definedName>
    <definedName name="SN" hidden="1">{"LKD",#N/A,FALSE,"표지"}</definedName>
    <definedName name="SNPZ">"$#ССЫЛ!.$E$1066:$E$1086"</definedName>
    <definedName name="SNPZ_1">"$#ССЫЛ!.$E$1066:$E$1086"</definedName>
    <definedName name="SNPZ_Uvek">NA()</definedName>
    <definedName name="SNPZ_Uvek_1">NA()</definedName>
    <definedName name="solved">#REF!</definedName>
    <definedName name="solver_adj" hidden="1">#REF!,#REF!</definedName>
    <definedName name="solver_corr" hidden="1">1</definedName>
    <definedName name="solver_ctp1" hidden="1">0</definedName>
    <definedName name="solver_ctp2" hidden="1">0</definedName>
    <definedName name="solver_cvg" hidden="1">0.001</definedName>
    <definedName name="solver_disp" hidden="1">0</definedName>
    <definedName name="solver_drv" hidden="1">1</definedName>
    <definedName name="solver_est" hidden="1">1</definedName>
    <definedName name="solver_eval" hidden="1">0</definedName>
    <definedName name="solver_itr" hidden="1">100</definedName>
    <definedName name="solver_lcens" hidden="1">-1E+30</definedName>
    <definedName name="solver_lcut" hidden="1">-1E+30</definedName>
    <definedName name="solver_lhs4" hidden="1">#REF!</definedName>
    <definedName name="solver_lhs5" hidden="1">#REF!</definedName>
    <definedName name="solver_lhs6" hidden="1">#REF!</definedName>
    <definedName name="solver_lin" hidden="1">0</definedName>
    <definedName name="solver_neg" hidden="1">2</definedName>
    <definedName name="solver_nsim" hidden="1">1</definedName>
    <definedName name="solver_nssim" hidden="1">-1</definedName>
    <definedName name="solver_ntri" hidden="1">1000</definedName>
    <definedName name="solver_num" hidden="1">0</definedName>
    <definedName name="solver_nwt" hidden="1">1</definedName>
    <definedName name="solver_opt" hidden="1">#REF!</definedName>
    <definedName name="solver_pre" hidden="1">0.000001</definedName>
    <definedName name="solver_rel1" hidden="1">2</definedName>
    <definedName name="solver_rel10" hidden="1">2</definedName>
    <definedName name="solver_rel11" hidden="1">2</definedName>
    <definedName name="solver_rel2" hidden="1">3</definedName>
    <definedName name="solver_rel3" hidden="1">3</definedName>
    <definedName name="solver_rel4" hidden="1">3</definedName>
    <definedName name="solver_rel5" hidden="1">2</definedName>
    <definedName name="solver_rel6" hidden="1">2</definedName>
    <definedName name="solver_rel7" hidden="1">2</definedName>
    <definedName name="solver_rel8" hidden="1">2</definedName>
    <definedName name="solver_rel9" hidden="1">2</definedName>
    <definedName name="solver_rhs1" hidden="1">3600</definedName>
    <definedName name="solver_rhs10" hidden="1">315430</definedName>
    <definedName name="solver_rhs11" hidden="1">284920</definedName>
    <definedName name="solver_rhs2" hidden="1">9770</definedName>
    <definedName name="solver_rhs3" hidden="1">660</definedName>
    <definedName name="solver_rhs4" hidden="1">5320</definedName>
    <definedName name="solver_rhs5" hidden="1">214</definedName>
    <definedName name="solver_rhs6" hidden="1">350</definedName>
    <definedName name="solver_rsmp" hidden="1">2</definedName>
    <definedName name="solver_scl" hidden="1">0</definedName>
    <definedName name="solver_seed" hidden="1">0</definedName>
    <definedName name="solver_sho" hidden="1">0</definedName>
    <definedName name="solver_sthr" hidden="1">0</definedName>
    <definedName name="solver_tim" hidden="1">100</definedName>
    <definedName name="solver_tmp" hidden="1">#REF!,#REF!</definedName>
    <definedName name="solver_tol" hidden="1">0.05</definedName>
    <definedName name="solver_typ" hidden="1">3</definedName>
    <definedName name="solver_ucens" hidden="1">1E+30</definedName>
    <definedName name="solver_ucut" hidden="1">1E+30</definedName>
    <definedName name="solver_val" hidden="1">22000000000</definedName>
    <definedName name="Sor">#REF!</definedName>
    <definedName name="sort">#REF!</definedName>
    <definedName name="SORT_AREA">#REF!</definedName>
    <definedName name="sort_it">#REF!</definedName>
    <definedName name="sort_it2">#REF!</definedName>
    <definedName name="sort_it3">#REF!</definedName>
    <definedName name="SORT_PRO">#REF!</definedName>
    <definedName name="Sortierbereich">#REF!</definedName>
    <definedName name="sos" hidden="1">{#N/A,#N/A,FALSE,"ZAP_FEB.XLS "}</definedName>
    <definedName name="SPC_INT_LIV_RF">#REF!</definedName>
    <definedName name="SPD">#REF!</definedName>
    <definedName name="SpDistBranch">#REF!</definedName>
    <definedName name="SpDistWet">#REF!</definedName>
    <definedName name="SPEC">#REF!</definedName>
    <definedName name="SpecialPrice" hidden="1">#REF!</definedName>
    <definedName name="SPECSUMMARY">#REF!</definedName>
    <definedName name="SpFreeH">#REF!</definedName>
    <definedName name="SpNAngle">#REF!</definedName>
    <definedName name="SpNDistData">#REF!</definedName>
    <definedName name="SpNLiqDens">#REF!</definedName>
    <definedName name="SpNLiqRate">#REF!</definedName>
    <definedName name="SpNLiqTemp">#REF!</definedName>
    <definedName name="SpNMaxLiqRate">#REF!</definedName>
    <definedName name="SpNMinLiqRate">#REF!</definedName>
    <definedName name="SpNMinP">#REF!</definedName>
    <definedName name="SpNoBranch">#REF!</definedName>
    <definedName name="SpNoNozzles">#REF!</definedName>
    <definedName name="SpNoNozzlesWarn">#REF!</definedName>
    <definedName name="SpNOrient">#REF!</definedName>
    <definedName name="SpNozzleD">#REF!</definedName>
    <definedName name="SpNozzleDist">#REF!</definedName>
    <definedName name="SpNozzTyp">#REF!</definedName>
    <definedName name="SpNozzVendor">#REF!</definedName>
    <definedName name="SpNProcData">#REF!</definedName>
    <definedName name="SpNZonePress">#REF!</definedName>
    <definedName name="SprayIDColumn">#REF!</definedName>
    <definedName name="SPREAD">#REF!</definedName>
    <definedName name="Spring">#REF!</definedName>
    <definedName name="Spring_Coating">#REF!</definedName>
    <definedName name="Spring_Set_C">#REF!</definedName>
    <definedName name="SpStNozzleD">#REF!</definedName>
    <definedName name="SR">#REF!</definedName>
    <definedName name="SRP">#REF!</definedName>
    <definedName name="ss" hidden="1">#REF!</definedName>
    <definedName name="SS_M">#REF!</definedName>
    <definedName name="SSEQPMNTRT">#REF!</definedName>
    <definedName name="ssfsad\" hidden="1">#REF!</definedName>
    <definedName name="SSLBRRT">#REF!</definedName>
    <definedName name="SSM">#REF!</definedName>
    <definedName name="sss" hidden="1">{#N/A,#N/A,FALSE,"Aging Summary";#N/A,#N/A,FALSE,"Ratio Analysis";#N/A,#N/A,FALSE,"Test 120 Day Accts";#N/A,#N/A,FALSE,"Tickmarks"}</definedName>
    <definedName name="sss_1" hidden="1">{#N/A,#N/A,TRUE,"Basic";#N/A,#N/A,TRUE,"EXT-TABLE";#N/A,#N/A,TRUE,"STEEL";#N/A,#N/A,TRUE,"INT-Table";#N/A,#N/A,TRUE,"STEEL";#N/A,#N/A,TRUE,"Door"}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hidden="1">{#N/A,#N/A,TRUE,"Basic";#N/A,#N/A,TRUE,"EXT-TABLE";#N/A,#N/A,TRUE,"STEEL";#N/A,#N/A,TRUE,"INT-Table";#N/A,#N/A,TRUE,"STEEL";#N/A,#N/A,TRUE,"Door"}</definedName>
    <definedName name="ssss_1" hidden="1">{#N/A,#N/A,TRUE,"Basic";#N/A,#N/A,TRUE,"EXT-TABLE";#N/A,#N/A,TRUE,"STEEL";#N/A,#N/A,TRUE,"INT-Table";#N/A,#N/A,TRUE,"STEEL";#N/A,#N/A,TRUE,"Door"}</definedName>
    <definedName name="sssssssssss" hidden="1">#REF!</definedName>
    <definedName name="ssssssssssss" hidden="1">#REF!</definedName>
    <definedName name="SSWT">#REF!</definedName>
    <definedName name="st" hidden="1">{"'장비'!$A$3:$M$12"}</definedName>
    <definedName name="st_LB_pd_failure_action_001">#REF!</definedName>
    <definedName name="st_LB_pd_fluid_phase_001">#REF!</definedName>
    <definedName name="st_LB_pd_seat_leak_001">#REF!</definedName>
    <definedName name="st_LB_spec_udf_c31_001">#REF!</definedName>
    <definedName name="st_LB_spec_udf_c33_001">#REF!</definedName>
    <definedName name="st_LB_spec_udf_c34_001">#REF!</definedName>
    <definedName name="st_LB_spec_udf_c35_001">#REF!</definedName>
    <definedName name="st_LB_spec_udf_c36_001">#REF!</definedName>
    <definedName name="st_LB_spec_udf_c39_001">#REF!</definedName>
    <definedName name="st_LB_spec_udf_c40_001">#REF!</definedName>
    <definedName name="st_LB_spec_udf_c54_001">#REF!</definedName>
    <definedName name="st_LB_spec_udf_c55_001">#REF!</definedName>
    <definedName name="st_LB_spec_udf_c56_001">#REF!</definedName>
    <definedName name="st_LB_spec_udf_c57_001">#REF!</definedName>
    <definedName name="st_LB_spec_udf_c58_001">#REF!</definedName>
    <definedName name="st_LB_spec_udf_c64_001">#REF!</definedName>
    <definedName name="st_LB_spec_udf_c66_001">#REF!</definedName>
    <definedName name="st_LB_spec_udf_c67_001">#REF!</definedName>
    <definedName name="st_LB_spec_udf_c69_001">#REF!</definedName>
    <definedName name="st_LB_spec_udf_c70_001">#REF!</definedName>
    <definedName name="st_LB_spec_udf_c73_001">#REF!</definedName>
    <definedName name="st_LB_spec_udf_c75_001">#REF!</definedName>
    <definedName name="st_LB_spec_udf_c77_001">#REF!</definedName>
    <definedName name="st_LB_spec_udf_c79_001">#REF!</definedName>
    <definedName name="st_LB_spec_udf_c80_001">#REF!</definedName>
    <definedName name="st_LB_spec_udf_c82_001">#REF!</definedName>
    <definedName name="st_LB_spec_udf_c83_001">#REF!</definedName>
    <definedName name="st_LB_spec_udf_c88_001">#REF!</definedName>
    <definedName name="st_LB_spec_udf_c89_001">#REF!</definedName>
    <definedName name="st_LB_spec_udf_c91_001">#REF!</definedName>
    <definedName name="st_LB_spec_udf_c94_001">#REF!</definedName>
    <definedName name="st_LB_spec_udf_c95_001">#REF!</definedName>
    <definedName name="st_LB_spec_udf_c97_001">#REF!</definedName>
    <definedName name="st_LB_spec_udf_c98_001">#REF!</definedName>
    <definedName name="STAFBB">#REF!</definedName>
    <definedName name="STAFFSAL">#REF!</definedName>
    <definedName name="STAFPLAN">#REF!</definedName>
    <definedName name="Stamp">#REF!</definedName>
    <definedName name="STAMPA">#REF!</definedName>
    <definedName name="Start_01_1">#REF!</definedName>
    <definedName name="Start_01_2">#REF!</definedName>
    <definedName name="Start_01_3">#REF!</definedName>
    <definedName name="Start_02_1">#REF!</definedName>
    <definedName name="Start_02_2">#REF!</definedName>
    <definedName name="Start_02_3">#REF!</definedName>
    <definedName name="Start_03_1">#REF!</definedName>
    <definedName name="Start_03_2">#REF!</definedName>
    <definedName name="Start_03_3">#REF!</definedName>
    <definedName name="Start_04_1">#REF!</definedName>
    <definedName name="Start_04_2">#REF!</definedName>
    <definedName name="Start_04_3">#REF!</definedName>
    <definedName name="Start_05_1">#REF!</definedName>
    <definedName name="Start_05_2">#REF!</definedName>
    <definedName name="Start_05_3">#REF!</definedName>
    <definedName name="Start_06_1">#REF!</definedName>
    <definedName name="Start_06_2">#REF!</definedName>
    <definedName name="Start_06_3">#REF!</definedName>
    <definedName name="Start_07_1">#REF!</definedName>
    <definedName name="Start_07_2">#REF!</definedName>
    <definedName name="Start_07_3">#REF!</definedName>
    <definedName name="Start_08_1">#REF!</definedName>
    <definedName name="Start_08_2">#REF!</definedName>
    <definedName name="Start_08_3">#REF!</definedName>
    <definedName name="Start_09_1">#REF!</definedName>
    <definedName name="Start_09_2">#REF!</definedName>
    <definedName name="Start_09_3">#REF!</definedName>
    <definedName name="Start_1">#REF!</definedName>
    <definedName name="Start_10">#REF!</definedName>
    <definedName name="Start_10_1">#REF!</definedName>
    <definedName name="Start_10_2">#REF!</definedName>
    <definedName name="Start_10_3">#REF!</definedName>
    <definedName name="Start_11">#REF!</definedName>
    <definedName name="Start_11_1">#REF!</definedName>
    <definedName name="Start_11_2">#REF!</definedName>
    <definedName name="Start_11_3">#REF!</definedName>
    <definedName name="Start_12">#REF!</definedName>
    <definedName name="Start_12_1">#REF!</definedName>
    <definedName name="Start_12_2">#REF!</definedName>
    <definedName name="Start_12_3">#REF!</definedName>
    <definedName name="Start_13">#REF!</definedName>
    <definedName name="Start_13_1">#REF!</definedName>
    <definedName name="Start_13_2">#REF!</definedName>
    <definedName name="Start_13_3">#REF!</definedName>
    <definedName name="Start_14_1">#REF!</definedName>
    <definedName name="Start_14_2">#REF!</definedName>
    <definedName name="Start_14_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d.Satz">#REF!</definedName>
    <definedName name="steel">#REF!</definedName>
    <definedName name="steel1">#REF!</definedName>
    <definedName name="steps">#REF!</definedName>
    <definedName name="Steuerung_TG">#REF!</definedName>
    <definedName name="Ströme">#REF!</definedName>
    <definedName name="Submission">"$#ССЫЛ!.$#ССЫЛ!$#ССЫЛ!"</definedName>
    <definedName name="Submission_1">"$#ССЫЛ!.$#ССЫЛ!$#ССЫЛ!"</definedName>
    <definedName name="SUM">#REF!,#REF!</definedName>
    <definedName name="Sum_Inst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_Inst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EK">#REF!</definedName>
    <definedName name="SUMMARY">#REF!</definedName>
    <definedName name="SUMMARY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1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summary2" hidden="1">{#N/A,#N/A,FALSE,"Aging Summary";#N/A,#N/A,FALSE,"Ratio Analysis";#N/A,#N/A,FALSE,"Test 120 Day Accts";#N/A,#N/A,FALSE,"Tickmarks"}</definedName>
    <definedName name="SUMME_REV_ALTE_KALK">#REF!</definedName>
    <definedName name="SUMME_REV_ALTEKALK">#REF!</definedName>
    <definedName name="SUMMENBL_DIFF_GES">#REF!</definedName>
    <definedName name="SUMPREVIEWS">#REF!,#REF!,#REF!,#REF!,#REF!,#REF!,#REF!,#REF!,#REF!</definedName>
    <definedName name="Sup_art">#REF!</definedName>
    <definedName name="SUPER_RATE">#REF!</definedName>
    <definedName name="Superheat">#REF!</definedName>
    <definedName name="Supervision">#REF!</definedName>
    <definedName name="Supply">#REF!</definedName>
    <definedName name="SuptAct">#REF!</definedName>
    <definedName name="SuptFcst">#REF!</definedName>
    <definedName name="SuptPlan">#REF!</definedName>
    <definedName name="süpürgelik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Surpluses_07GAAP" hidden="1">#REF!</definedName>
    <definedName name="Surpluses_07GAAPNGW" hidden="1">#REF!</definedName>
    <definedName name="Surpluses_07БУ" hidden="1">#REF!</definedName>
    <definedName name="Surpluses_08GAAP" hidden="1">#REF!</definedName>
    <definedName name="Surpluses_08GAAPNGW" hidden="1">#REF!</definedName>
    <definedName name="Surpluses_08БУ" hidden="1">#REF!</definedName>
    <definedName name="Surpluses_GAAPNGWПрочиеВыбытиеПроизводственные" hidden="1">#REF!</definedName>
    <definedName name="Surpluses_GAAPNGWПрочиеВыбытиеСоциальные" hidden="1">#REF!</definedName>
    <definedName name="Surpluses_GAAPПрочиеВыбытиеПроизводственные" hidden="1">#REF!</definedName>
    <definedName name="Surpluses_GAAPПрочиеВыбытиеСоциальные" hidden="1">#REF!</definedName>
    <definedName name="Surpluses_ПрочиеВыбытиеПроизводственные" hidden="1">#REF!</definedName>
    <definedName name="Surpluses_ПрочиеВыбытиеСоциальные" hidden="1">#REF!</definedName>
    <definedName name="SV_ENCPT_LOGON_PWD" hidden="1">"078104085088070"</definedName>
    <definedName name="SV_ENCPT_LOGON_USER" hidden="1">"095094088070084"</definedName>
    <definedName name="SV_Nummer">#REF!</definedName>
    <definedName name="SV_PAS_PastelCompanyPath" hidden="1">"\\res07\Pastel Data\RHEALEA\"</definedName>
    <definedName name="SV_PAS_PastelDatabase" hidden="1">"PAS11RHEALEA"</definedName>
    <definedName name="SV_PAS_PervasiveServer" hidden="1">"RES07"</definedName>
    <definedName name="sverdd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SW" hidden="1">#REF!</definedName>
    <definedName name="SW_2">#REF!</definedName>
    <definedName name="SW45E">#REF!</definedName>
    <definedName name="Swc">#REF!</definedName>
    <definedName name="Swvu.DETT.._.COSTI." hidden="1">#REF!</definedName>
    <definedName name="Swvu.inputs._.raw._.data." hidden="1">#REF!</definedName>
    <definedName name="Swvu.RIEPIL.." hidden="1">#REF!</definedName>
    <definedName name="Swvu.summary1." hidden="1">#REF!</definedName>
    <definedName name="Swvu.summary2." hidden="1">#REF!</definedName>
    <definedName name="Swvu.summary3." hidden="1">#REF!</definedName>
    <definedName name="SX" hidden="1">{#N/A,#N/A,FALSE,"CCTV"}</definedName>
    <definedName name="SX_1" hidden="1">{#N/A,#N/A,FALSE,"CCTV"}</definedName>
    <definedName name="SXP" hidden="1">{"print95",#N/A,FALSE,"1995E.XLS";"print96",#N/A,FALSE,"1996E.XLS"}</definedName>
    <definedName name="SYNTEC130">#REF!</definedName>
    <definedName name="SYNTEC150">#REF!</definedName>
    <definedName name="SYNTEC170">#REF!</definedName>
    <definedName name="SYNTEC190">#REF!</definedName>
    <definedName name="SYNTEC210">#REF!</definedName>
    <definedName name="SYNTEC290">#REF!</definedName>
    <definedName name="sys_APP_VERSION" hidden="1">#REF!</definedName>
    <definedName name="sys_SYSDATE" hidden="1">#REF!</definedName>
    <definedName name="sys_USER" hidden="1">#REF!</definedName>
    <definedName name="sys1_APP_VERSION" hidden="1">#REF!</definedName>
    <definedName name="sys1_SYSDATE" hidden="1">#REF!</definedName>
    <definedName name="sys1_USER" hidden="1">#REF!</definedName>
    <definedName name="T">NA()</definedName>
    <definedName name="T_1">NA()</definedName>
    <definedName name="T_ave">"$#ССЫЛ!.$C$27"</definedName>
    <definedName name="T_ave_1">NA()</definedName>
    <definedName name="T_DI">#REF!</definedName>
    <definedName name="T_F">"$#ССЫЛ!.$E$27"</definedName>
    <definedName name="T_F_1">NA()</definedName>
    <definedName name="T_GIP">#REF!</definedName>
    <definedName name="T_GRAD1">#REF!</definedName>
    <definedName name="T_GRAD2">#REF!</definedName>
    <definedName name="T_MH">#REF!</definedName>
    <definedName name="T_MUD2">#REF!</definedName>
    <definedName name="T_NO">#REF!</definedName>
    <definedName name="TA" hidden="1">{#N/A,#N/A,FALSE,"CCTV"}</definedName>
    <definedName name="TA_1" hidden="1">{#N/A,#N/A,FALSE,"CCTV"}</definedName>
    <definedName name="tab">#REF!</definedName>
    <definedName name="Tabela">#REF!</definedName>
    <definedName name="TABLE">#REF!</definedName>
    <definedName name="table1">#REF!</definedName>
    <definedName name="table2">#REF!</definedName>
    <definedName name="table3">#REF!</definedName>
    <definedName name="table4">#REF!</definedName>
    <definedName name="TableMaterial">#REF!</definedName>
    <definedName name="TableName">"Dummy"</definedName>
    <definedName name="TableSummary" hidden="1">#REF!</definedName>
    <definedName name="TABLEUNIT">#REF!</definedName>
    <definedName name="TakeOffDiameter">#REF!</definedName>
    <definedName name="tanya" hidden="1">{#N/A,#N/A,FALSE,"Aging Summary";#N/A,#N/A,FALSE,"Ratio Analysis";#N/A,#N/A,FALSE,"Test 120 Day Accts";#N/A,#N/A,FALSE,"Tickmarks"}</definedName>
    <definedName name="TASK">#REF!</definedName>
    <definedName name="Task_Force_Cost">#REF!</definedName>
    <definedName name="TASK_Kreuztabelle">#REF!</definedName>
    <definedName name="TASKPRED">#REF!</definedName>
    <definedName name="TAus">#REF!</definedName>
    <definedName name="TauxEngineering">#REF!</definedName>
    <definedName name="Taxes" hidden="1">{"Supporting Schedules",#N/A,FALSE,"Results"}</definedName>
    <definedName name="Taxes_and_Fees">#REF!</definedName>
    <definedName name="TB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bh">"$#ССЫЛ!.$C$19"</definedName>
    <definedName name="Tbh_1">NA()</definedName>
    <definedName name="tbl_ProdInfo" hidden="1">#REF!</definedName>
    <definedName name="TBT">#REF!</definedName>
    <definedName name="TC">#REF!</definedName>
    <definedName name="TCC">#REF!</definedName>
    <definedName name="TCDA">#REF!</definedName>
    <definedName name="TcfRateMonth">#REF!</definedName>
    <definedName name="TD">#REF!</definedName>
    <definedName name="Tdepth">"$#ССЫЛ!.$C$25"</definedName>
    <definedName name="Tdepth_1">NA()</definedName>
    <definedName name="Tdesign">#REF!</definedName>
    <definedName name="TDtwo">#REF!</definedName>
    <definedName name="Tein">#REF!</definedName>
    <definedName name="temp" hidden="1">{"'Sheet1'!$A$1:$AE$60","'Sheet1'!$AE$1","'Sheet1'!$A$1:$AE$60"}</definedName>
    <definedName name="TEMP._FIELD_EXPENSE">#REF!</definedName>
    <definedName name="Temp_Facility_Total_Cost_FC">#REF!</definedName>
    <definedName name="temp1" hidden="1">{#N/A,#N/A,TRUE,"Task Status";#N/A,#N/A,TRUE,"Document Status";#N/A,#N/A,TRUE,"Percent Complete";#N/A,#N/A,TRUE,"Manhour Sum"}</definedName>
    <definedName name="TEMP2">#REF!</definedName>
    <definedName name="TempC">#REF!</definedName>
    <definedName name="TempClass">#REF!</definedName>
    <definedName name="TempDir">#REF!</definedName>
    <definedName name="Template" hidden="1">#REF!</definedName>
    <definedName name="Template.WIRE.DBAccess.CalcMode">"Async"</definedName>
    <definedName name="TEMPSPEC">#REF!</definedName>
    <definedName name="teri" hidden="1">{#N/A,#N/A,TRUE,"Basic";#N/A,#N/A,TRUE,"EXT-TABLE";#N/A,#N/A,TRUE,"STEEL";#N/A,#N/A,TRUE,"INT-Table";#N/A,#N/A,TRUE,"STEEL";#N/A,#N/A,TRUE,"Door"}</definedName>
    <definedName name="tertw" hidden="1">{#N/A,#N/A,FALSE,"Aging Summary";#N/A,#N/A,FALSE,"Ratio Analysis";#N/A,#N/A,FALSE,"Test 120 Day Accts";#N/A,#N/A,FALSE,"Tickmarks"}</definedName>
    <definedName name="TEST">#REF!</definedName>
    <definedName name="TEST_COST">#REF!</definedName>
    <definedName name="Test_Gag">#REF!</definedName>
    <definedName name="test1" hidden="1">{"Estimate Cover Form",#N/A,TRUE,"ESTIMATE COVER";"Estimate Page 2",#N/A,TRUE,"ESTIMATE COVER"}</definedName>
    <definedName name="test2" hidden="1">{#N/A,#N/A,FALSE,"Себестоимсть-97"}</definedName>
    <definedName name="test3">#REF!</definedName>
    <definedName name="test4" hidden="1">{#N/A,#N/A,FALSE,"Себестоимсть-97"}</definedName>
    <definedName name="test5" hidden="1">{#N/A,#N/A,FALSE,"Себестоимсть-97"}</definedName>
    <definedName name="test6" hidden="1">{#N/A,#N/A,FALSE,"Себестоимсть-97"}</definedName>
    <definedName name="test7" hidden="1">{#N/A,#N/A,FALSE,"Себестоимсть-97"}</definedName>
    <definedName name="test8" hidden="1">{#N/A,#N/A,FALSE,"Себестоимсть-97"}</definedName>
    <definedName name="test9" hidden="1">{#N/A,#N/A,FALSE,"Себестоимсть-97"}</definedName>
    <definedName name="TEWRER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WRER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TextRefCopyRangeCount" hidden="1">1</definedName>
    <definedName name="TG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G_1" hidden="1">{#N/A,#N/A,FALSE,"CCTV"}</definedName>
    <definedName name="TGB" hidden="1">#REF!</definedName>
    <definedName name="tgrad">"$#ССЫЛ!.$C$23"</definedName>
    <definedName name="tgrad_1">NA()</definedName>
    <definedName name="THB_NTD">#REF!</definedName>
    <definedName name="ThermalExpansion">#REF!</definedName>
    <definedName name="THK">#REF!</definedName>
    <definedName name="ticker1">#REF!</definedName>
    <definedName name="tickers1">#REF!</definedName>
    <definedName name="TITAN">#REF!</definedName>
    <definedName name="TITLE">#REF!</definedName>
    <definedName name="TitlesSubEntries">#REF!,#REF!,#REF!,#REF!,#REF!,#REF!,#REF!,#REF!,#REF!,#REF!,#REF!,#REF!,#REF!,#REF!,#REF!,#REF!</definedName>
    <definedName name="Titre01">#REF!</definedName>
    <definedName name="Titre02">#REF!</definedName>
    <definedName name="Titre04">#REF!</definedName>
    <definedName name="Titre05">#REF!</definedName>
    <definedName name="TLS" hidden="1">{"LKD",#N/A,FALSE,"표지"}</definedName>
    <definedName name="Tmax">#REF!</definedName>
    <definedName name="Tmin">#REF!</definedName>
    <definedName name="TN_FA_Capacity">NA()</definedName>
    <definedName name="TN_FA_Capacity_1">"$#ССЫЛ!.$E$687:$E$707"</definedName>
    <definedName name="TN_NA_Capacity">NA()</definedName>
    <definedName name="TN_NA_Capacity_1">"$#ССЫЛ!.$E$708:$E$728"</definedName>
    <definedName name="TN_Pipe_Inflation">NA()</definedName>
    <definedName name="TN_Pipe_Inflation_1">"$#ССЫЛ!.$E$215:$E$235"</definedName>
    <definedName name="TNK_BP_TN_Deliveries">"$#ССЫЛ!.$E$3:$E$23"</definedName>
    <definedName name="TNK_BP_TN_Deliveries_1">"$#ССЫЛ!.$E$3:$E$23"</definedName>
    <definedName name="TNKBP_Crude_Loss">NA()</definedName>
    <definedName name="TNKBP_Crude_Loss_1">"$#ССЫЛ!.$#ССЫЛ!$#ССЫЛ!:$#ССЫЛ!$#ССЫЛ!"</definedName>
    <definedName name="TNKBP_EXPORT_FA_DIR">NA()</definedName>
    <definedName name="TNKBP_EXPORT_FA_DIR_1">"$#ССЫЛ!.$E$1593:$E$1844"</definedName>
    <definedName name="TNKBP_FA_Quota">NA()</definedName>
    <definedName name="TNKBP_FA_Quota_1">"$#ССЫЛ!.$E$813:$E$833"</definedName>
    <definedName name="TNKBP_Prod_Growth">NA()</definedName>
    <definedName name="TNKBP_Prod_Growth_1">"$#ССЫЛ!.$E$729:$E$749"</definedName>
    <definedName name="TNKBP_Production">"$#ССЫЛ!.$D$3:$D$23"</definedName>
    <definedName name="TNKBP_Production_1">"$#ССЫЛ!.$D$3:$D$23"</definedName>
    <definedName name="TNKBP_Quota_Adamow">NA()</definedName>
    <definedName name="TNKBP_Quota_Adamow_1">"$#ССЫЛ!.$E$1698:$E$1718"</definedName>
    <definedName name="TNKBP_Quota_Butinge">NA()</definedName>
    <definedName name="TNKBP_Quota_Butinge_1">"$#ССЫЛ!.$E$1740:$E$1760"</definedName>
    <definedName name="TNKBP_Quota_Hungary">NA()</definedName>
    <definedName name="TNKBP_Quota_Hungary_1">"$#ССЫЛ!.$E$1719:$E$1739"</definedName>
    <definedName name="TNKBP_Quota_Lithuania">NA()</definedName>
    <definedName name="TNKBP_Quota_Lithuania_1">"$#ССЫЛ!.$E$1761:$E$1781"</definedName>
    <definedName name="TNKBP_Quota_Murmansk">NA()</definedName>
    <definedName name="TNKBP_Quota_Murmansk_1">"$#ССЫЛ!.$E$1803:$E$1823"</definedName>
    <definedName name="TNKBP_Quota_Nahodka">NA()</definedName>
    <definedName name="TNKBP_Quota_Nahodka_1">"$#ССЫЛ!.$E$1824:$E$1844"</definedName>
    <definedName name="TNKBP_Quota_Novo">NA()</definedName>
    <definedName name="TNKBP_Quota_Novo_1">"$#ССЫЛ!.$E$1593:$E$1613"</definedName>
    <definedName name="TNKBP_Quota_Odessa">NA()</definedName>
    <definedName name="TNKBP_Quota_Odessa_1">"$#ССЫЛ!.$E$1656:$E$1676"</definedName>
    <definedName name="TNKBP_Quota_other">NA()</definedName>
    <definedName name="TNKBP_Quota_other_1">"$#ССЫЛ!.$E$1845:$E$1865"</definedName>
    <definedName name="TNKBP_Quota_Primorsk">NA()</definedName>
    <definedName name="TNKBP_Quota_Primorsk_1">"$#ССЫЛ!.$E$1677:$E$1697"</definedName>
    <definedName name="TNKBP_Quota_Tuapse">NA()</definedName>
    <definedName name="TNKBP_Quota_Tuapse_1">"$#ССЫЛ!.$E$1614:$E$1634"</definedName>
    <definedName name="TNKBP_Quota_Ventspils">NA()</definedName>
    <definedName name="TNKBP_Quota_Ventspils_1">"$#ССЫЛ!.$E$1635:$E$1655"</definedName>
    <definedName name="TNKBP_Quota_Yuzhny">NA()</definedName>
    <definedName name="TNKBP_Quota_Yuzhny_1">"$#ССЫЛ!.$E$1782:$E$1802"</definedName>
    <definedName name="TNKBP_Share_Russia">NA()</definedName>
    <definedName name="TNKBP_Share_Russia_1">"$#ССЫЛ!.$E$771:$E$791"</definedName>
    <definedName name="TNKBP_TN_Crude_Loss">NA()</definedName>
    <definedName name="TNKBP_TN_Crude_Loss_1">"$#ССЫЛ!.$E$624:$E$644"</definedName>
    <definedName name="TNKBP_TN_Deliveries">NA()</definedName>
    <definedName name="TNKBP_TN_Deliveries_1">"$#ССЫЛ!.$E$750:$E$770"</definedName>
    <definedName name="TopRankDefaultDistForRange" hidden="1">0</definedName>
    <definedName name="TopRankDefaultMaxChange" hidden="1">"0,1"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psideAirCompr">#REF!</definedName>
    <definedName name="topsideaircomprkvar">#REF!</definedName>
    <definedName name="TopsideAirComprkw">#REF!</definedName>
    <definedName name="Topsideairdryer">#REF!</definedName>
    <definedName name="TOTAL">#REF!</definedName>
    <definedName name="TOTAL_COST_BOE">#REF!</definedName>
    <definedName name="Total_PayOut15">#REF!</definedName>
    <definedName name="Total_Ship">#REF!</definedName>
    <definedName name="TOTAL_WELLS">#REF!</definedName>
    <definedName name="TOTALA">#REF!</definedName>
    <definedName name="TOTALB">#REF!</definedName>
    <definedName name="TOTALC">#REF!</definedName>
    <definedName name="TOTALD">#REF!</definedName>
    <definedName name="TotalkWEMMCCSf4201">#REF!</definedName>
    <definedName name="TOTEL">#REF!</definedName>
    <definedName name="TotEmNO">#REF!</definedName>
    <definedName name="TotEmNOvar">#REF!</definedName>
    <definedName name="TOTME">#REF!</definedName>
    <definedName name="TOXHE">#REF!</definedName>
    <definedName name="TOXO">#REF!</definedName>
    <definedName name="TOXP">#REF!</definedName>
    <definedName name="TOXT">#REF!</definedName>
    <definedName name="TOXV">#REF!</definedName>
    <definedName name="TPC027GR">#REF!</definedName>
    <definedName name="TPL">#REF!</definedName>
    <definedName name="TPLAT_C">#REF!</definedName>
    <definedName name="TPLRP">#REF!</definedName>
    <definedName name="Tpr">NA()</definedName>
    <definedName name="Tpr_1">NA()</definedName>
    <definedName name="tr" hidden="1">{#N/A,#N/A,FALSE,"COVER.XLS";#N/A,#N/A,FALSE,"RACT1.XLS";#N/A,#N/A,FALSE,"RACT2.XLS";#N/A,#N/A,FALSE,"ECCMP";#N/A,#N/A,FALSE,"WELDER.XLS"}</definedName>
    <definedName name="TRADE2">#REF!</definedName>
    <definedName name="Training">#REF!</definedName>
    <definedName name="TRAN_FEE">#REF!+#REF!+#REF!</definedName>
    <definedName name="Trans">#REF!</definedName>
    <definedName name="TRANSAC">#REF!</definedName>
    <definedName name="Transfer_01GAAPNGWПеремещенияПроизводственные" hidden="1">#REF!</definedName>
    <definedName name="Transfer_01GAAPNGWПеремещенияСоциальные" hidden="1">#REF!</definedName>
    <definedName name="Transfer_01GAAPПеремещенияПроизводственные" hidden="1">#REF!</definedName>
    <definedName name="Transfer_01GAAPПеремещенияСоциальные" hidden="1">#REF!</definedName>
    <definedName name="Transfer_01БУПеремещенияПроизводственные" hidden="1">#REF!</definedName>
    <definedName name="Transfer_01БУПеремещенияСоциальные" hidden="1">#REF!</definedName>
    <definedName name="Transfer_07GAAP" hidden="1">#REF!</definedName>
    <definedName name="Transfer_07GAAPNGW" hidden="1">#REF!</definedName>
    <definedName name="Transfer_07БУ" hidden="1">#REF!</definedName>
    <definedName name="Transfer_08GAAP" hidden="1">#REF!</definedName>
    <definedName name="Transfer_08GAAPNGW" hidden="1">#REF!</definedName>
    <definedName name="Transfer_08БУ" hidden="1">#REF!</definedName>
    <definedName name="TRANSFORMER">#REF!</definedName>
    <definedName name="translucent">#REF!</definedName>
    <definedName name="transport">#REF!</definedName>
    <definedName name="Transport_Percent">#REF!</definedName>
    <definedName name="TRANSPORTED_WEIGHT">#REF!</definedName>
    <definedName name="TRAP_PV">#REF!</definedName>
    <definedName name="trash" hidden="1">{#N/A,#N/A,TRUE,"Sheet1";#N/A,#N/A,TRUE,"Sheet2";#N/A,#N/A,TRUE,"Sheet3"}</definedName>
    <definedName name="travel">#REF!</definedName>
    <definedName name="Travel_and_Relocation_Cost">#REF!</definedName>
    <definedName name="Travel_Cost_per_Hour">#REF!</definedName>
    <definedName name="treeList" hidden="1">"00000000000000000000000000000000000000000000000000000000000000000000000000000000000000000000000000000000000000000000000000000000000000000000000000000000000000000000000000000000000000000000000000000000"</definedName>
    <definedName name="Trelief1">#REF!</definedName>
    <definedName name="Trelief2">#REF!</definedName>
    <definedName name="Trelief3">#REF!</definedName>
    <definedName name="TRES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h">#REF!</definedName>
    <definedName name="trhrw">#REF!</definedName>
    <definedName name="trhttw">#REF!</definedName>
    <definedName name="TROCA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TRTTR" hidden="1">{#N/A,#N/A,FALSE,"C_01 CASE 1";#N/A,#N/A,FALSE,"C_01 CASE 2"}</definedName>
    <definedName name="trw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Ts">"$#ССЫЛ!.$C$18"</definedName>
    <definedName name="Ts_1">NA()</definedName>
    <definedName name="TS_AGas_Extraction">#REF!</definedName>
    <definedName name="TS_AGas_LOU">#REF!</definedName>
    <definedName name="TS_AGas_Price">#REF!</definedName>
    <definedName name="TS_AGas_Production">#REF!</definedName>
    <definedName name="TS_AGas_Revenue">#REF!</definedName>
    <definedName name="TS_All_Burdens">#REF!</definedName>
    <definedName name="TS_All_Capex">#REF!</definedName>
    <definedName name="TS_All_Opex">#REF!</definedName>
    <definedName name="TS_All_Wells">#REF!</definedName>
    <definedName name="TS_BT_CF">#REF!</definedName>
    <definedName name="TS_Condensate_Extraction">#REF!</definedName>
    <definedName name="TS_Condensate_LOU">#REF!</definedName>
    <definedName name="TS_Condensate_Price">#REF!</definedName>
    <definedName name="TS_Condensate_Production">#REF!</definedName>
    <definedName name="TS_Condensate_Revenue">#REF!</definedName>
    <definedName name="TS_Crude_Extraction">#REF!</definedName>
    <definedName name="TS_Crude_LOU">#REF!</definedName>
    <definedName name="TS_Crude_Price">#REF!</definedName>
    <definedName name="TS_Crude_Production">#REF!</definedName>
    <definedName name="TS_Crude_Revenue">#REF!</definedName>
    <definedName name="TS_DCF15">#REF!</definedName>
    <definedName name="TS_Drill_Capex">#REF!</definedName>
    <definedName name="TS_EWells">#REF!</definedName>
    <definedName name="TS_Export_Tax">#REF!</definedName>
    <definedName name="TS_FCF">#REF!</definedName>
    <definedName name="TS_HC_Extraction">#REF!</definedName>
    <definedName name="TS_HC_Lou">#REF!</definedName>
    <definedName name="TS_HC_Price">#REF!</definedName>
    <definedName name="TS_HC_Production">#REF!</definedName>
    <definedName name="TS_HC_Revenue">#REF!</definedName>
    <definedName name="TS_Income_Tax">#REF!</definedName>
    <definedName name="TS_IWells">#REF!</definedName>
    <definedName name="TS_Liquid_Rate">#REF!</definedName>
    <definedName name="TS_M">#REF!</definedName>
    <definedName name="TS_Mineral_Tax">#REF!</definedName>
    <definedName name="TS_New_EWells">#REF!</definedName>
    <definedName name="TS_New_IWells">#REF!</definedName>
    <definedName name="TS_New_Wells">#REF!</definedName>
    <definedName name="TS_NGas_Exctraction">#REF!</definedName>
    <definedName name="TS_NGas_LOU">#REF!</definedName>
    <definedName name="TS_NGas_Price">#REF!</definedName>
    <definedName name="TS_NGas_Production">#REF!</definedName>
    <definedName name="TS_NGas_Revenue">#REF!</definedName>
    <definedName name="TS_Non_Drill_CAPEX">#REF!</definedName>
    <definedName name="TS_OpIncome">#REF!</definedName>
    <definedName name="TS_Property_Tax">#REF!</definedName>
    <definedName name="TS_reserves">#REF!</definedName>
    <definedName name="TS_Transp_Costs">#REF!</definedName>
    <definedName name="TS_WT">#REF!</definedName>
    <definedName name="TSTFCTR">#REF!</definedName>
    <definedName name="TStwo">#REF!</definedName>
    <definedName name="TSUPPOT" hidden="1">{#N/A,#N/A,FALSE,"CCTV"}</definedName>
    <definedName name="TSUPPOT_1" hidden="1">{#N/A,#N/A,FALSE,"CCTV"}</definedName>
    <definedName name="TSV">#REF!</definedName>
    <definedName name="TT" hidden="1">{#N/A,#N/A,FALSE,"CCTV"}</definedName>
    <definedName name="TT_1" hidden="1">{#N/A,#N/A,FALSE,"CCTV"}</definedName>
    <definedName name="tt_BALANCE_CODE" hidden="1">#REF!</definedName>
    <definedName name="tt_BALANCE_ID" hidden="1">#REF!</definedName>
    <definedName name="tt_BALANCE_NAME" hidden="1">#REF!</definedName>
    <definedName name="tt_BALANCE_NOTE" hidden="1">#REF!</definedName>
    <definedName name="tt_BASE_CALC_CODE" hidden="1">#REF!</definedName>
    <definedName name="tt_BASE_CALC_ID" hidden="1">#REF!</definedName>
    <definedName name="tt_BASE_CALC_NAME" hidden="1">#REF!</definedName>
    <definedName name="tt_BASE_SCENARIO_CODE" hidden="1">#REF!</definedName>
    <definedName name="tt_BASE_SCENARIO_ID" hidden="1">#REF!</definedName>
    <definedName name="tt_BASE_SCENARIO_NAME" hidden="1">#REF!</definedName>
    <definedName name="tt_BASE_SCENARIO_NOTE" hidden="1">#REF!</definedName>
    <definedName name="tt_BEG_DATE" hidden="1">#REF!</definedName>
    <definedName name="tt_BINDING_CODE" hidden="1">#REF!</definedName>
    <definedName name="tt_BINDING_ID" hidden="1">#REF!</definedName>
    <definedName name="tt_BINDING_NAME" hidden="1">#REF!</definedName>
    <definedName name="tt_BINDING_NOTE" hidden="1">#REF!</definedName>
    <definedName name="tt_BONUS_CODE" hidden="1">#REF!</definedName>
    <definedName name="tt_BONUS_ID" hidden="1">#REF!</definedName>
    <definedName name="tt_BONUS_NAME" hidden="1">#REF!</definedName>
    <definedName name="tt_BONUS_NOTE" hidden="1">#REF!</definedName>
    <definedName name="tt_CHANGE_DATE" hidden="1">#REF!</definedName>
    <definedName name="tt_CODE" hidden="1">#REF!</definedName>
    <definedName name="tt_CREATE_DATE" hidden="1">#REF!</definedName>
    <definedName name="tt_CUSTOM_CODE" hidden="1">#REF!</definedName>
    <definedName name="tt_CUSTOM_ID" hidden="1">#REF!</definedName>
    <definedName name="tt_CUSTOM_NAME" hidden="1">#REF!</definedName>
    <definedName name="tt_CUSTOM_NOTE" hidden="1">#REF!</definedName>
    <definedName name="tt_DEMAND_CODE" hidden="1">#REF!</definedName>
    <definedName name="tt_DEMAND_ID" hidden="1">#REF!</definedName>
    <definedName name="tt_DEMAND_NAME" hidden="1">#REF!</definedName>
    <definedName name="tt_DEMAND_NOTE" hidden="1">#REF!</definedName>
    <definedName name="tt_END_DATE" hidden="1">#REF!</definedName>
    <definedName name="tt_EPOCH_COUNT" hidden="1">#REF!</definedName>
    <definedName name="tt_EPOCH_INTERVAL_NAME" hidden="1">#REF!</definedName>
    <definedName name="tt_FIXCOST_CODE" hidden="1">#REF!</definedName>
    <definedName name="tt_FIXCOST_ID" hidden="1">#REF!</definedName>
    <definedName name="tt_FIXCOST_NAME" hidden="1">#REF!</definedName>
    <definedName name="tt_FIXCOST_NOTE" hidden="1">#REF!</definedName>
    <definedName name="tt_FOLDER_ID" hidden="1">#REF!</definedName>
    <definedName name="tt_FOLDER_NAME" hidden="1">#REF!</definedName>
    <definedName name="tt_FOLDER_PARENT_ID" hidden="1">#REF!</definedName>
    <definedName name="tt_FORECAST_CODE" hidden="1">#REF!</definedName>
    <definedName name="tt_FORECAST_ID" hidden="1">#REF!</definedName>
    <definedName name="tt_FORECAST_NAME" hidden="1">#REF!</definedName>
    <definedName name="tt_FORECAST_NOTE" hidden="1">#REF!</definedName>
    <definedName name="tt_FREIGHT_CODE" hidden="1">#REF!</definedName>
    <definedName name="tt_FREIGHT_ID" hidden="1">#REF!</definedName>
    <definedName name="tt_FREIGHT_NAME" hidden="1">#REF!</definedName>
    <definedName name="tt_FREIGHT_NOTE" hidden="1">#REF!</definedName>
    <definedName name="tt_ID" hidden="1">#REF!</definedName>
    <definedName name="tt_IS_BASE" hidden="1">#REF!</definedName>
    <definedName name="tt_IS_READ_ONLY" hidden="1">#REF!</definedName>
    <definedName name="tt_MARKET_CODE" hidden="1">#REF!</definedName>
    <definedName name="tt_MARKET_ID" hidden="1">#REF!</definedName>
    <definedName name="tt_MARKET_NAME" hidden="1">#REF!</definedName>
    <definedName name="tt_MARKET_TOTE" hidden="1">#REF!</definedName>
    <definedName name="tt_NAME" hidden="1">#REF!</definedName>
    <definedName name="tt_NOTE" hidden="1">#REF!</definedName>
    <definedName name="tt_OPTIMEX_CODE" hidden="1">#REF!</definedName>
    <definedName name="tt_OPTIMEX_ID" hidden="1">#REF!</definedName>
    <definedName name="tt_OPTIMEX_NAME" hidden="1">#REF!</definedName>
    <definedName name="tt_OWNER_ID" hidden="1">#REF!</definedName>
    <definedName name="tt_OWNER_NAME" hidden="1">#REF!</definedName>
    <definedName name="tt_OWNER_USER" hidden="1">#REF!</definedName>
    <definedName name="tt_PARITY_CODE" hidden="1">#REF!</definedName>
    <definedName name="tt_PARITY_ID" hidden="1">#REF!</definedName>
    <definedName name="tt_PARITY_NAME" hidden="1">#REF!</definedName>
    <definedName name="tt_PARITY_NOTE" hidden="1">#REF!</definedName>
    <definedName name="tt_PRICING_CODE" hidden="1">#REF!</definedName>
    <definedName name="tt_PRICING_ID" hidden="1">#REF!</definedName>
    <definedName name="tt_PRICING_NAME" hidden="1">#REF!</definedName>
    <definedName name="tt_PRICING_NOTE" hidden="1">#REF!</definedName>
    <definedName name="tt_ROUTE_CODE" hidden="1">#REF!</definedName>
    <definedName name="tt_ROUTE_ID" hidden="1">#REF!</definedName>
    <definedName name="tt_ROUTE_NAME" hidden="1">#REF!</definedName>
    <definedName name="tt_ROUTE_NOTE" hidden="1">#REF!</definedName>
    <definedName name="tt_SENSITIVITY_CODE" hidden="1">#REF!</definedName>
    <definedName name="tt_SENSITIVITY_ID" hidden="1">#REF!</definedName>
    <definedName name="tt_SENSITIVITY_NAME" hidden="1">#REF!</definedName>
    <definedName name="tt_SENSITIVITY_NOTE" hidden="1">#REF!</definedName>
    <definedName name="tt_SPENDING_CODE" hidden="1">#REF!</definedName>
    <definedName name="tt_SPENDING_ID" hidden="1">#REF!</definedName>
    <definedName name="tt_SPENDING_NAME" hidden="1">#REF!</definedName>
    <definedName name="tt_SPENDING_NOTE" hidden="1">#REF!</definedName>
    <definedName name="tt_TRANCHE_CODE" hidden="1">#REF!</definedName>
    <definedName name="tt_TRANCHE_ID" hidden="1">#REF!</definedName>
    <definedName name="tt_TRANCHE_NAME" hidden="1">#REF!</definedName>
    <definedName name="tt_TRANCHE_NOTE" hidden="1">#REF!</definedName>
    <definedName name="tt_TRANSFERT_CODE" hidden="1">#REF!</definedName>
    <definedName name="tt_TRANSFERT_ID" hidden="1">#REF!</definedName>
    <definedName name="tt_TRANSFERT_NAME" hidden="1">#REF!</definedName>
    <definedName name="tt_TRANSFERT_NOTE" hidden="1">#REF!</definedName>
    <definedName name="ttt">#REF!</definedName>
    <definedName name="ttt_BALANCE_CODE" hidden="1">#REF!</definedName>
    <definedName name="ttt_BALANCE_ID" hidden="1">#REF!</definedName>
    <definedName name="ttt_BALANCE_NAME" hidden="1">#REF!</definedName>
    <definedName name="ttt_BALANCE_NOTE" hidden="1">#REF!</definedName>
    <definedName name="ttt_BASE_CALC_CODE" hidden="1">#REF!</definedName>
    <definedName name="ttt_BASE_CALC_ID" hidden="1">#REF!</definedName>
    <definedName name="ttt_BASE_CALC_NAME" hidden="1">#REF!</definedName>
    <definedName name="ttt_BASE_SCENARIO_CODE" hidden="1">#REF!</definedName>
    <definedName name="ttt_BASE_SCENARIO_ID" hidden="1">#REF!</definedName>
    <definedName name="ttt_BASE_SCENARIO_NAME" hidden="1">#REF!</definedName>
    <definedName name="ttt_BASE_SCENARIO_NOTE" hidden="1">#REF!</definedName>
    <definedName name="ttt_BEG_DATE" hidden="1">#REF!</definedName>
    <definedName name="ttt_BINDING_CODE" hidden="1">#REF!</definedName>
    <definedName name="ttt_BINDING_ID" hidden="1">#REF!</definedName>
    <definedName name="ttt_BINDING_NAME" hidden="1">#REF!</definedName>
    <definedName name="ttt_BINDING_NOTE" hidden="1">#REF!</definedName>
    <definedName name="ttt_BONUS_CODE" hidden="1">#REF!</definedName>
    <definedName name="ttt_BONUS_ID" hidden="1">#REF!</definedName>
    <definedName name="ttt_BONUS_NAME" hidden="1">#REF!</definedName>
    <definedName name="ttt_BONUS_NOTE" hidden="1">#REF!</definedName>
    <definedName name="ttt_CHANGE_DATE" hidden="1">#REF!</definedName>
    <definedName name="ttt_CODE" hidden="1">#REF!</definedName>
    <definedName name="ttt_CREATE_DATE" hidden="1">#REF!</definedName>
    <definedName name="ttt_CUSTOM_CODE" hidden="1">#REF!</definedName>
    <definedName name="ttt_CUSTOM_ID" hidden="1">#REF!</definedName>
    <definedName name="ttt_CUSTOM_NAME" hidden="1">#REF!</definedName>
    <definedName name="ttt_CUSTOM_NOTE" hidden="1">#REF!</definedName>
    <definedName name="ttt_DEMAND_CODE" hidden="1">#REF!</definedName>
    <definedName name="ttt_DEMAND_ID" hidden="1">#REF!</definedName>
    <definedName name="ttt_DEMAND_NAME" hidden="1">#REF!</definedName>
    <definedName name="ttt_DEMAND_NOTE" hidden="1">#REF!</definedName>
    <definedName name="ttt_END_DATE" hidden="1">#REF!</definedName>
    <definedName name="ttt_EPOCH_COUNT" hidden="1">#REF!</definedName>
    <definedName name="ttt_EPOCH_INTERVAL_NAME" hidden="1">#REF!</definedName>
    <definedName name="ttt_FIXCOST_CODE" hidden="1">#REF!</definedName>
    <definedName name="ttt_FIXCOST_ID" hidden="1">#REF!</definedName>
    <definedName name="ttt_FIXCOST_NAME" hidden="1">#REF!</definedName>
    <definedName name="ttt_FIXCOST_NOTE" hidden="1">#REF!</definedName>
    <definedName name="ttt_FOLDER_ID" hidden="1">#REF!</definedName>
    <definedName name="ttt_FOLDER_NAME" hidden="1">#REF!</definedName>
    <definedName name="ttt_FOLDER_PARENT_ID" hidden="1">#REF!</definedName>
    <definedName name="ttt_FORECAST_CODE" hidden="1">#REF!</definedName>
    <definedName name="ttt_FORECAST_ID" hidden="1">#REF!</definedName>
    <definedName name="ttt_FORECAST_NAME" hidden="1">#REF!</definedName>
    <definedName name="ttt_FORECAST_NOTE" hidden="1">#REF!</definedName>
    <definedName name="ttt_FREIGHT_CODE" hidden="1">#REF!</definedName>
    <definedName name="ttt_FREIGHT_ID" hidden="1">#REF!</definedName>
    <definedName name="ttt_FREIGHT_NAME" hidden="1">#REF!</definedName>
    <definedName name="ttt_FREIGHT_NOTE" hidden="1">#REF!</definedName>
    <definedName name="ttt_ID" hidden="1">#REF!</definedName>
    <definedName name="ttt_IS_BASE" hidden="1">#REF!</definedName>
    <definedName name="ttt_IS_READ_ONLY" hidden="1">#REF!</definedName>
    <definedName name="ttt_MARKET_CODE" hidden="1">#REF!</definedName>
    <definedName name="ttt_MARKET_ID" hidden="1">#REF!</definedName>
    <definedName name="ttt_MARKET_NAME" hidden="1">#REF!</definedName>
    <definedName name="ttt_MARKET_TOTE" hidden="1">#REF!</definedName>
    <definedName name="ttt_NAME" hidden="1">#REF!</definedName>
    <definedName name="ttt_NOTE" hidden="1">#REF!</definedName>
    <definedName name="ttt_Opsg" hidden="1">#REF!</definedName>
    <definedName name="ttt_OPTIMEX_CODE" hidden="1">#REF!</definedName>
    <definedName name="ttt_OPTIMEX_ID" hidden="1">#REF!</definedName>
    <definedName name="ttt_OPTIMEX_NAME" hidden="1">#REF!</definedName>
    <definedName name="ttt_OWNER_ID" hidden="1">#REF!</definedName>
    <definedName name="ttt_OWNER_NAME" hidden="1">#REF!</definedName>
    <definedName name="ttt_OWNER_USER" hidden="1">#REF!</definedName>
    <definedName name="ttt_PARITY_CODE" hidden="1">#REF!</definedName>
    <definedName name="ttt_PARITY_ID" hidden="1">#REF!</definedName>
    <definedName name="ttt_PARITY_NAME" hidden="1">#REF!</definedName>
    <definedName name="ttt_PARITY_NOTE" hidden="1">#REF!</definedName>
    <definedName name="ttt_PRICING_CODE" hidden="1">#REF!</definedName>
    <definedName name="ttt_PRICING_ID" hidden="1">#REF!</definedName>
    <definedName name="ttt_PRICING_NAME" hidden="1">#REF!</definedName>
    <definedName name="ttt_PRICING_NOTE" hidden="1">#REF!</definedName>
    <definedName name="ttt_ROUTE_CODE" hidden="1">#REF!</definedName>
    <definedName name="ttt_ROUTE_ID" hidden="1">#REF!</definedName>
    <definedName name="ttt_ROUTE_NAME" hidden="1">#REF!</definedName>
    <definedName name="ttt_ROUTE_NOTE" hidden="1">#REF!</definedName>
    <definedName name="ttt_SENSITIVITY_CODE" hidden="1">#REF!</definedName>
    <definedName name="ttt_SENSITIVITY_ID" hidden="1">#REF!</definedName>
    <definedName name="ttt_SENSITIVITY_NAME" hidden="1">#REF!</definedName>
    <definedName name="ttt_SENSITIVITY_NOTE" hidden="1">#REF!</definedName>
    <definedName name="ttt_SPENDING_CODE" hidden="1">#REF!</definedName>
    <definedName name="ttt_SPENDING_ID" hidden="1">#REF!</definedName>
    <definedName name="ttt_SPENDING_NAME" hidden="1">#REF!</definedName>
    <definedName name="ttt_SPENDING_NOTE" hidden="1">#REF!</definedName>
    <definedName name="ttt_TRANCHE_CODE" hidden="1">#REF!</definedName>
    <definedName name="ttt_TRANCHE_ID" hidden="1">#REF!</definedName>
    <definedName name="ttt_TRANCHE_NAME" hidden="1">#REF!</definedName>
    <definedName name="ttt_TRANCHE_NOTE" hidden="1">#REF!</definedName>
    <definedName name="ttt_TRANSFERT_CODE" hidden="1">#REF!</definedName>
    <definedName name="ttt_TRANSFERT_ID" hidden="1">#REF!</definedName>
    <definedName name="ttt_TRANSFERT_NAME" hidden="1">#REF!</definedName>
    <definedName name="ttt_TRANSFERT_NOTE" hidden="1">#REF!</definedName>
    <definedName name="tttt" hidden="1">#REF!,#REF!</definedName>
    <definedName name="tttttt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TUBE" hidden="1">{#N/A,#N/A,FALSE,"CCTV"}</definedName>
    <definedName name="TUBE_1" hidden="1">{#N/A,#N/A,FALSE,"CCTV"}</definedName>
    <definedName name="TUBE_MATL">#REF!</definedName>
    <definedName name="TUBE_SIDE_MATL">#REF!</definedName>
    <definedName name="Tube_WT">#REF!</definedName>
    <definedName name="TubeRupture">#REF!</definedName>
    <definedName name="Tubing_ID">"$#ССЫЛ!.$C$16"</definedName>
    <definedName name="Tubing_ID_1">NA()</definedName>
    <definedName name="tuiop" hidden="1">{#N/A,#N/A,FALSE,"SUBS";#N/A,#N/A,FALSE,"SUPERS";#N/A,#N/A,FALSE,"FINISHES";#N/A,#N/A,FALSE,"FITTINGS";#N/A,#N/A,FALSE,"SERVICES";#N/A,#N/A,FALSE,"SITEWORKS"}</definedName>
    <definedName name="TURGUT" hidden="1">{"turbine",#N/A,FALSE,"Option"}</definedName>
    <definedName name="turgutac" hidden="1">{#N/A,#N/A,TRUE,"arnitower";#N/A,#N/A,TRUE,"arnigarage "}</definedName>
    <definedName name="TV" hidden="1">{#N/A,#N/A,FALSE,"CCTV"}</definedName>
    <definedName name="TV_1" hidden="1">{#N/A,#N/A,FALSE,"CCTV"}</definedName>
    <definedName name="Tverf1">#REF!</definedName>
    <definedName name="Tverf2">#REF!</definedName>
    <definedName name="Tverf3">#REF!</definedName>
    <definedName name="TWO">#REF!</definedName>
    <definedName name="TWOYEAR1">#REF!</definedName>
    <definedName name="TWOYEAR2">#REF!</definedName>
    <definedName name="TWOYEAR3">#REF!</definedName>
    <definedName name="TWOYEAR4">#REF!</definedName>
    <definedName name="ty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TYPE">#REF!</definedName>
    <definedName name="tyu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tyuj" hidden="1">#REF!</definedName>
    <definedName name="tyutuytuy" hidden="1">#REF!</definedName>
    <definedName name="u" hidden="1">#REF!</definedName>
    <definedName name="ù">#REF!</definedName>
    <definedName name="u_BALANCE_CODE" hidden="1">#REF!</definedName>
    <definedName name="u_BALANCE_ID" hidden="1">#REF!</definedName>
    <definedName name="u_BALANCE_NAME" hidden="1">#REF!</definedName>
    <definedName name="u_BALANCE_NOTE" hidden="1">#REF!</definedName>
    <definedName name="u_BASE_CALC_CODE" hidden="1">#REF!</definedName>
    <definedName name="u_BASE_CALC_ID" hidden="1">#REF!</definedName>
    <definedName name="u_BASE_CALC_NAME" hidden="1">#REF!</definedName>
    <definedName name="u_BASE_SCENARIO_CODE" hidden="1">#REF!</definedName>
    <definedName name="u_BASE_SCENARIO_ID" hidden="1">#REF!</definedName>
    <definedName name="u_BASE_SCENARIO_NAME" hidden="1">#REF!</definedName>
    <definedName name="u_BASE_SCENARIO_NOTE" hidden="1">#REF!</definedName>
    <definedName name="u_BEG_DATE" hidden="1">#REF!</definedName>
    <definedName name="u_BINDING_CODE" hidden="1">#REF!</definedName>
    <definedName name="u_BINDING_ID" hidden="1">#REF!</definedName>
    <definedName name="u_BINDING_NAME" hidden="1">#REF!</definedName>
    <definedName name="u_BINDING_NOTE" hidden="1">#REF!</definedName>
    <definedName name="u_BONUS_CODE" hidden="1">#REF!</definedName>
    <definedName name="u_BONUS_ID" hidden="1">#REF!</definedName>
    <definedName name="u_BONUS_NAME" hidden="1">#REF!</definedName>
    <definedName name="u_BONUS_NOTE" hidden="1">#REF!</definedName>
    <definedName name="u_CHANGE_DATE" hidden="1">#REF!</definedName>
    <definedName name="u_CODE" hidden="1">#REF!</definedName>
    <definedName name="u_CREATE_DATE" hidden="1">#REF!</definedName>
    <definedName name="u_CUSTOM_CODE" hidden="1">#REF!</definedName>
    <definedName name="u_CUSTOM_ID" hidden="1">#REF!</definedName>
    <definedName name="u_CUSTOM_NAME" hidden="1">#REF!</definedName>
    <definedName name="u_CUSTOM_NOTE" hidden="1">#REF!</definedName>
    <definedName name="u_DEMAND_CODE" hidden="1">#REF!</definedName>
    <definedName name="u_DEMAND_ID" hidden="1">#REF!</definedName>
    <definedName name="u_DEMAND_NAME" hidden="1">#REF!</definedName>
    <definedName name="u_DEMAND_NOTE" hidden="1">#REF!</definedName>
    <definedName name="u_END_DATE" hidden="1">#REF!</definedName>
    <definedName name="u_EPOCH_COUNT" hidden="1">#REF!</definedName>
    <definedName name="u_EPOCH_INTERVAL_NAME" hidden="1">#REF!</definedName>
    <definedName name="u_FIXCOST_CODE" hidden="1">#REF!</definedName>
    <definedName name="u_FIXCOST_ID" hidden="1">#REF!</definedName>
    <definedName name="u_FIXCOST_NAME" hidden="1">#REF!</definedName>
    <definedName name="u_FIXCOST_NOTE" hidden="1">#REF!</definedName>
    <definedName name="u_FOLDER_ID" hidden="1">#REF!</definedName>
    <definedName name="u_FOLDER_NAME" hidden="1">#REF!</definedName>
    <definedName name="u_FOLDER_PARENT_ID" hidden="1">#REF!</definedName>
    <definedName name="u_FORECAST_CODE" hidden="1">#REF!</definedName>
    <definedName name="u_FORECAST_ID" hidden="1">#REF!</definedName>
    <definedName name="u_FORECAST_NAME" hidden="1">#REF!</definedName>
    <definedName name="u_FORECAST_NOTE" hidden="1">#REF!</definedName>
    <definedName name="u_FREIGHT_CODE" hidden="1">#REF!</definedName>
    <definedName name="u_FREIGHT_ID" hidden="1">#REF!</definedName>
    <definedName name="u_FREIGHT_NAME" hidden="1">#REF!</definedName>
    <definedName name="u_FREIGHT_NOTE" hidden="1">#REF!</definedName>
    <definedName name="u_ID" hidden="1">#REF!</definedName>
    <definedName name="u_IS_BASE" hidden="1">#REF!</definedName>
    <definedName name="u_IS_READ_ONLY" hidden="1">#REF!</definedName>
    <definedName name="u_MARKET_CODE" hidden="1">#REF!</definedName>
    <definedName name="u_MARKET_ID" hidden="1">#REF!</definedName>
    <definedName name="u_MARKET_NAME" hidden="1">#REF!</definedName>
    <definedName name="u_MARKET_TOTE" hidden="1">#REF!</definedName>
    <definedName name="u_NAME" hidden="1">#REF!</definedName>
    <definedName name="u_NOTE" hidden="1">#REF!</definedName>
    <definedName name="u_OPTIMEX_CODE" hidden="1">#REF!</definedName>
    <definedName name="u_OPTIMEX_ID" hidden="1">#REF!</definedName>
    <definedName name="u_OPTIMEX_NAME" hidden="1">#REF!</definedName>
    <definedName name="u_OWNER_ID" hidden="1">#REF!</definedName>
    <definedName name="u_OWNER_NAME" hidden="1">#REF!</definedName>
    <definedName name="u_OWNER_USER" hidden="1">#REF!</definedName>
    <definedName name="u_PARITY_CODE" hidden="1">#REF!</definedName>
    <definedName name="u_PARITY_ID" hidden="1">#REF!</definedName>
    <definedName name="u_PARITY_NAME" hidden="1">#REF!</definedName>
    <definedName name="u_PARITY_NOTE" hidden="1">#REF!</definedName>
    <definedName name="u_PRICING_CODE" hidden="1">#REF!</definedName>
    <definedName name="u_PRICING_ID" hidden="1">#REF!</definedName>
    <definedName name="u_PRICING_NAME" hidden="1">#REF!</definedName>
    <definedName name="u_PRICING_NOTE" hidden="1">#REF!</definedName>
    <definedName name="u_ROUTE_CODE" hidden="1">#REF!</definedName>
    <definedName name="u_ROUTE_ID" hidden="1">#REF!</definedName>
    <definedName name="u_ROUTE_NAME" hidden="1">#REF!</definedName>
    <definedName name="u_ROUTE_NOTE" hidden="1">#REF!</definedName>
    <definedName name="u_SENSITIVITY_CODE" hidden="1">#REF!</definedName>
    <definedName name="u_SENSITIVITY_ID" hidden="1">#REF!</definedName>
    <definedName name="u_SENSITIVITY_NAME" hidden="1">#REF!</definedName>
    <definedName name="u_SENSITIVITY_NOTE" hidden="1">#REF!</definedName>
    <definedName name="u_SPENDING_CODE" hidden="1">#REF!</definedName>
    <definedName name="u_SPENDING_ID" hidden="1">#REF!</definedName>
    <definedName name="u_SPENDING_NAME" hidden="1">#REF!</definedName>
    <definedName name="u_SPENDING_NOTE" hidden="1">#REF!</definedName>
    <definedName name="u_TRANCHE_CODE" hidden="1">#REF!</definedName>
    <definedName name="u_TRANCHE_ID" hidden="1">#REF!</definedName>
    <definedName name="u_TRANCHE_NAME" hidden="1">#REF!</definedName>
    <definedName name="u_TRANCHE_NOTE" hidden="1">#REF!</definedName>
    <definedName name="u_TRANSFERT_CODE" hidden="1">#REF!</definedName>
    <definedName name="u_TRANSFERT_ID" hidden="1">#REF!</definedName>
    <definedName name="u_TRANSFERT_NAME" hidden="1">#REF!</definedName>
    <definedName name="u_TRANSFERT_NOTE" hidden="1">#REF!</definedName>
    <definedName name="U_W">#REF!</definedName>
    <definedName name="u65u655" hidden="1">#REF!</definedName>
    <definedName name="UAAAAA" hidden="1">{#N/A,#N/A,TRUE,"Basic";#N/A,#N/A,TRUE,"EXT-TABLE";#N/A,#N/A,TRUE,"STEEL";#N/A,#N/A,TRUE,"INT-Table";#N/A,#N/A,TRUE,"STEEL";#N/A,#N/A,TRUE,"Door"}</definedName>
    <definedName name="UB" hidden="1">{#N/A,#N/A,FALSE,"CCTV"}</definedName>
    <definedName name="UB_1" hidden="1">{#N/A,#N/A,FALSE,"CCTV"}</definedName>
    <definedName name="Udctmax">#REF!</definedName>
    <definedName name="Udctmaxtwo">#REF!</definedName>
    <definedName name="UGSB">#REF!</definedName>
    <definedName name="UI" hidden="1">#REF!</definedName>
    <definedName name="uiklo" hidden="1">#REF!</definedName>
    <definedName name="uio" hidden="1">{#VALUE!,#N/A,TRUE,0}</definedName>
    <definedName name="uiop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pbn" hidden="1">{#N/A,#N/A,FALSE,"SUBS";#N/A,#N/A,FALSE,"SUPERS";#N/A,#N/A,FALSE,"FINISHES";#N/A,#N/A,FALSE,"FITTINGS";#N/A,#N/A,FALSE,"SERVICES";#N/A,#N/A,FALSE,"SITEWORKS"}</definedName>
    <definedName name="uiopl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uioui" hidden="1">#REF!</definedName>
    <definedName name="UI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U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iygtg" hidden="1">#REF!</definedName>
    <definedName name="uj" hidden="1">#REF!</definedName>
    <definedName name="uj455f25r" hidden="1">#REF!</definedName>
    <definedName name="UJDH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uk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UKKK" hidden="1">#REF!</definedName>
    <definedName name="UKK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KY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KUYK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ulyil46545" hidden="1">#REF!</definedName>
    <definedName name="UM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ndo_it">#REF!</definedName>
    <definedName name="undo_state">#REF!</definedName>
    <definedName name="UNI_AA_VERSION" hidden="1">"150.1.7"</definedName>
    <definedName name="UNI_FILT_END" hidden="1">8</definedName>
    <definedName name="UNI_FILT_OFFSPEC" hidden="1">2</definedName>
    <definedName name="UNI_FILT_ONSPEC" hidden="1">1</definedName>
    <definedName name="UNI_FILT_START" hidden="1">4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ND" hidden="1">16384</definedName>
    <definedName name="UNI_RET_EQUIP" hidden="1">1</definedName>
    <definedName name="UNI_RET_EVENT" hidden="1">4096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START" hidden="1">8192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T">#REF!</definedName>
    <definedName name="UNIT_DIFF">#REF!</definedName>
    <definedName name="UNIT_OPT">#REF!</definedName>
    <definedName name="Unit_Wt">IF(#REF!="m",INDEX(PipeInfo,MATCH(#REF!,#REF!,),MATCH(#REF!,#REF!,)),0)</definedName>
    <definedName name="UNIT2AREA">#REF!</definedName>
    <definedName name="UNITS">#REF!</definedName>
    <definedName name="Units_Value">#REF!</definedName>
    <definedName name="uno">#REF!</definedName>
    <definedName name="UntightCheckValve">#REF!</definedName>
    <definedName name="UntightValve">#REF!</definedName>
    <definedName name="UoM">#REF!</definedName>
    <definedName name="UP">#REF!,#REF!,#REF!,#REF!,#REF!,#REF!,#REF!,#REF!,#REF!,#REF!,#REF!</definedName>
    <definedName name="update1">#REF!</definedName>
    <definedName name="upoi" hidden="1">{0,0}</definedName>
    <definedName name="ur">#REF!</definedName>
    <definedName name="Urals_discount">NA()</definedName>
    <definedName name="Urals_discount_1">"$#ССЫЛ!.$E$47:$E$67"</definedName>
    <definedName name="Urals_Excise">NA()</definedName>
    <definedName name="Urals_Excise_1">"$#ССЫЛ!.$E$414:$E$434"</definedName>
    <definedName name="ure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USD">#REF!</definedName>
    <definedName name="USD_10.22">#REF!</definedName>
    <definedName name="USD_11.22">#REF!</definedName>
    <definedName name="USD_12.22">#REF!</definedName>
    <definedName name="USD_22">#REF!</definedName>
    <definedName name="USD_23">#REF!</definedName>
    <definedName name="USD_24">#REF!</definedName>
    <definedName name="USD_25">#REF!</definedName>
    <definedName name="USD_26">#REF!</definedName>
    <definedName name="USD_27">#REF!</definedName>
    <definedName name="USD_28">#REF!</definedName>
    <definedName name="USD_29">#REF!</definedName>
    <definedName name="USD_31120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USD_JPY">#REF!</definedName>
    <definedName name="USD_MYR">#REF!</definedName>
    <definedName name="USD_NTD">#REF!</definedName>
    <definedName name="usd_rur">#REF!</definedName>
    <definedName name="USD_SAR">#REF!</definedName>
    <definedName name="USD_SGD">#REF!</definedName>
    <definedName name="USD_THB">#REF!</definedName>
    <definedName name="USD_TWD">#REF!</definedName>
    <definedName name="USD→NTD">#REF!</definedName>
    <definedName name="USD→RMB">#REF!</definedName>
    <definedName name="USDRate">#REF!</definedName>
    <definedName name="USERDATA">#REF!</definedName>
    <definedName name="Uslot">#REF!</definedName>
    <definedName name="Uslotmid">#REF!</definedName>
    <definedName name="Uslottwo">#REF!</definedName>
    <definedName name="ust_06_g">NA()</definedName>
    <definedName name="ust_06_g_1">NA()</definedName>
    <definedName name="UTIL" hidden="1">{"MAN H.O.",#N/A,FALSE,"tabella"}</definedName>
    <definedName name="UU" hidden="1">{#N/A,#N/A,FALSE,"JACKETS (1100 t) (1)"}</definedName>
    <definedName name="uu_1" hidden="1">{#N/A,#N/A,TRUE,"Engineering Dept";#N/A,#N/A,TRUE,"Sales Dept";#N/A,#N/A,TRUE,"Marketing Dept";#N/A,#N/A,TRUE,"Admin Dept"}</definedName>
    <definedName name="uuu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uuuuuuuuuuuuuuuuuu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v" hidden="1">{#N/A,#N/A,FALSE,"FA_1";#N/A,#N/A,FALSE,"Dep'n SE";#N/A,#N/A,FALSE,"Dep'n FC"}</definedName>
    <definedName name="V_NTG2">#REF!</definedName>
    <definedName name="V_Test" hidden="1">{"'Sheet1'!$L$16"}</definedName>
    <definedName name="value">#REF!</definedName>
    <definedName name="Values_Entered" localSheetId="0">IF(Loan_Amount*Interest_Rate*Loan_Years*Loan_Start&gt;0,1,0)</definedName>
    <definedName name="Values_Entered" localSheetId="2">IF(Loan_Amount*Interest_Rate*Loan_Years*Loan_Start&gt;0,1,0)</definedName>
    <definedName name="Values_Entered" localSheetId="1">IF(Loan_Amount*Interest_Rate*Loan_Years*Loan_Start&gt;0,1,0)</definedName>
    <definedName name="Values_Entered">IF(Loan_Amount*Interest_Rate*Loan_Years*Loan_Start&gt;0,1,0)</definedName>
    <definedName name="ValveB">#REF!</definedName>
    <definedName name="ValveIndexB">#REF!</definedName>
    <definedName name="VAR_GAS_OPEX">#REF!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INST">#REF!</definedName>
    <definedName name="VARIPURC">#REF!</definedName>
    <definedName name="VE">#REF!</definedName>
    <definedName name="vel">#REF!</definedName>
    <definedName name="velratio">#REF!</definedName>
    <definedName name="velratiotwo">#REF!</definedName>
    <definedName name="Veri_1">#REF!</definedName>
    <definedName name="Veri_2">#REF!</definedName>
    <definedName name="Version">#REF!</definedName>
    <definedName name="VESSEL">#REF!</definedName>
    <definedName name="vffsfs" hidden="1">{#N/A,#N/A,TRUE,"Basic";#N/A,#N/A,TRUE,"EXT-TABLE";#N/A,#N/A,TRUE,"STEEL";#N/A,#N/A,TRUE,"INT-Table";#N/A,#N/A,TRUE,"STEEL";#N/A,#N/A,TRUE,"Door"}</definedName>
    <definedName name="vffsfs_1" hidden="1">{#N/A,#N/A,TRUE,"Basic";#N/A,#N/A,TRUE,"EXT-TABLE";#N/A,#N/A,TRUE,"STEEL";#N/A,#N/A,TRUE,"INT-Table";#N/A,#N/A,TRUE,"STEEL";#N/A,#N/A,TRUE,"Door"}</definedName>
    <definedName name="vfn" hidden="1">{"Товар.выработка без продаж",#N/A,FALSE,"товар"}</definedName>
    <definedName name="vgaga" hidden="1">#REF!</definedName>
    <definedName name="VI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VIE">#REF!</definedName>
    <definedName name="vinz" hidden="1">{"баланс",#N/A,TRUE,"Баланс  на  декабрь"}</definedName>
    <definedName name="Viscosity">#REF!</definedName>
    <definedName name="vitaly" hidden="1">#N/A</definedName>
    <definedName name="vlv">#REF!</definedName>
    <definedName name="VOLUME">#REF!</definedName>
    <definedName name="VOLUME_august">#REF!</definedName>
    <definedName name="VOLUME_december">#REF!</definedName>
    <definedName name="volume_mult">#REF!</definedName>
    <definedName name="VOLUME_november">#REF!</definedName>
    <definedName name="VOLUME_october">#REF!</definedName>
    <definedName name="VOLUME_september">#REF!</definedName>
    <definedName name="Volumes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Vp">#REF!</definedName>
    <definedName name="vR_07">NA()</definedName>
    <definedName name="vR_07_1">NA()</definedName>
    <definedName name="VR20A" hidden="1">{"'Monthly Report'!$A$1:$L$34"}</definedName>
    <definedName name="vs">#REF!</definedName>
    <definedName name="vur" hidden="1">#REF!</definedName>
    <definedName name="vural" hidden="1">#REF!</definedName>
    <definedName name="vv" hidden="1">{#N/A,#N/A,FALSE,"kap1";#N/A,#N/A,FALSE,"kap2";#N/A,#N/A,FALSE,"tem_mektubu";#N/A,#N/A,FALSE,"avans";#N/A,#N/A,FALSE,"söz_fiy_fark";#N/A,#N/A,FALSE,"fat_ihz"}</definedName>
    <definedName name="vvv" hidden="1">{"print95",#N/A,FALSE,"1995E.XLS";"print96",#N/A,FALSE,"1996E.XLS"}</definedName>
    <definedName name="VXCVXVXCV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VXCVXVXCV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_DEPTH2">#REF!</definedName>
    <definedName name="W_ROD">#REF!</definedName>
    <definedName name="w8u8uw" hidden="1">#REF!</definedName>
    <definedName name="WÄHRUNG">#REF!</definedName>
    <definedName name="Waiting">"Picture 1"</definedName>
    <definedName name="WarningPosition">#REF!</definedName>
    <definedName name="Waste" hidden="1">{#N/A,#N/A,TRUE,"Basic";#N/A,#N/A,TRUE,"EXT-TABLE";#N/A,#N/A,TRUE,"STEEL";#N/A,#N/A,TRUE,"INT-Table";#N/A,#N/A,TRUE,"STEEL";#N/A,#N/A,TRUE,"Door"}</definedName>
    <definedName name="WBS">#REF!</definedName>
    <definedName name="WC">"$#ССЫЛ!.$C$5"</definedName>
    <definedName name="WC_1">NA()</definedName>
    <definedName name="WD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e" hidden="1">{#N/A,#N/A,FALSE,"ihz. icmal";#N/A,#N/A,FALSE,"avans";#N/A,#N/A,FALSE,"mal_FF_icm";#N/A,#N/A,FALSE,"fat_ihz";#N/A,#N/A,FALSE,"söz_fiy_fark";#N/A,#N/A,FALSE,"kap2"}</definedName>
    <definedName name="WE_LabourRate">#REF!</definedName>
    <definedName name="WebDirectory">#REF!</definedName>
    <definedName name="Wechselkurs">#REF!</definedName>
    <definedName name="WEE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EE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ff" hidden="1">#REF!</definedName>
    <definedName name="wefqwefqew" hidden="1">#REF!</definedName>
    <definedName name="wefqwefw" hidden="1">#REF!</definedName>
    <definedName name="wefw" hidden="1">{"inputs raw data",#N/A,TRUE,"INPUT"}</definedName>
    <definedName name="weight">#REF!</definedName>
    <definedName name="weight_1" hidden="1">{#N/A,#N/A,FALSE,"CCTV"}</definedName>
    <definedName name="WeirLoad">#REF!</definedName>
    <definedName name="WeirLoadtwo">#REF!</definedName>
    <definedName name="WelcomeBorder">#REF!,#REF!,#REF!,#REF!</definedName>
    <definedName name="WeldHB">#REF!</definedName>
    <definedName name="WeldSB">#REF!</definedName>
    <definedName name="WELL_COST_D">#REF!</definedName>
    <definedName name="WELL_COST_F">#REF!</definedName>
    <definedName name="WELLH_PLAT">#REF!</definedName>
    <definedName name="WELLS">#REF!</definedName>
    <definedName name="WELLS_YR">#REF!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e" hidden="1">#REF!</definedName>
    <definedName name="WEQWE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E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eqwrq" hidden="1">#REF!</definedName>
    <definedName name="wer">{0;0;0;0;1;1;0.25;0.25;0.25;0.25;2;FALSE;FALSE;FALSE;FALSE;FALSE;#N/A;1;#N/A;1;1;"";""}</definedName>
    <definedName name="wererw" hidden="1">{"NWN_Q1810",#N/A,FALSE,"Q1810_1.V";"NWN_Q1412",#N/A,FALSE,"Q1412_1"}</definedName>
    <definedName name="wererw_1" hidden="1">{"NWN_Q1810",#N/A,FALSE,"Q1810_1.V";"NWN_Q1412",#N/A,FALSE,"Q1412_1"}</definedName>
    <definedName name="werrwr" hidden="1">{#VALUE!,#N/A,FALSE,0}</definedName>
    <definedName name="wert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erty" hidden="1">#REF!</definedName>
    <definedName name="werwerwe" hidden="1">{#VALUE!,#N/A,FALSE,0}</definedName>
    <definedName name="WESTA">#REF!</definedName>
    <definedName name="WESTB">#REF!</definedName>
    <definedName name="wetwet" hidden="1">#REF!</definedName>
    <definedName name="wewer">#REF!</definedName>
    <definedName name="wewgg" hidden="1">#REF!</definedName>
    <definedName name="WF_IRR">#REF!</definedName>
    <definedName name="wg">"$#ССЫЛ!.$C$14"</definedName>
    <definedName name="wg_1">NA()</definedName>
    <definedName name="Wholesale_Prices_Inflation">NA()</definedName>
    <definedName name="Wholesale_Prices_Inflation_1">"$#ССЫЛ!.$#ССЫЛ!$#ССЫЛ!:$#ССЫЛ!$#ССЫЛ!"</definedName>
    <definedName name="WindowName">#REF!</definedName>
    <definedName name="Wison_ReimbSS">#REF!</definedName>
    <definedName name="Wison_SCTU">#REF!</definedName>
    <definedName name="wjs" hidden="1">{"'장비'!$A$3:$M$12"}</definedName>
    <definedName name="won">1281.98</definedName>
    <definedName name="workshop" hidden="1">{#N/A,#N/A,FALSE,"CCTV"}</definedName>
    <definedName name="workshop_1" hidden="1">{#N/A,#N/A,FALSE,"CCTV"}</definedName>
    <definedName name="WQ" hidden="1">{#N/A,#N/A,FALSE,"ihz. icmal";#N/A,#N/A,FALSE,"avans";#N/A,#N/A,FALSE,"mal_FF_icm";#N/A,#N/A,FALSE,"fat_ihz";#N/A,#N/A,FALSE,"söz_fiy_fark";#N/A,#N/A,FALSE,"kap2"}</definedName>
    <definedName name="wqweqw" hidden="1">#REF!</definedName>
    <definedName name="wr" hidden="1">{#N/A,#N/A,FALSE,"ihz. icmal";#N/A,#N/A,FALSE,"avans";#N/A,#N/A,FALSE,"mal_FF_icm";#N/A,#N/A,FALSE,"fat_ihz";#N/A,#N/A,FALSE,"söz_fiy_fark";#N/A,#N/A,FALSE,"kap2"}</definedName>
    <definedName name="WR_1" hidden="1">{#N/A,#N/A,FALSE,"CCTV"}</definedName>
    <definedName name="WRITE" hidden="1">{#N/A,#N/A,FALSE,"CCTV"}</definedName>
    <definedName name="WRITE_1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wrn.1." hidden="1">{#N/A,#N/A,FALSE,"17MAY";#N/A,#N/A,FALSE,"24MAY"}</definedName>
    <definedName name="wrn.1._1" hidden="1">{#N/A,#N/A,FALSE,"17MAY";#N/A,#N/A,FALSE,"24MAY"}</definedName>
    <definedName name="wrn.111." hidden="1">{#N/A,#N/A,FALSE,"제목"}</definedName>
    <definedName name="wrn.31.03.2001." hidden="1">{#N/A,#N/A,FALSE,"310101FC";#N/A,#N/A,FALSE,"310301P3";#N/A,#N/A,FALSE,"310101IST"}</definedName>
    <definedName name="wrn.A." hidden="1">{#N/A,#N/A,FALSE,"Vessel1 1";#N/A,#N/A,FALSE,"Vessel1 2";#N/A,#N/A,FALSE,"Vessel1 3";#N/A,#N/A,FALSE,"Vessel1 4";#N/A,#N/A,FALSE,"Vessel1 5";#N/A,#N/A,FALSE,"Vessel1 6";#N/A,#N/A,FALSE,"Vessel1 7";#N/A,#N/A,FALSE,"Vessel1 8";#N/A,#N/A,FALSE,"Vessel1 9";#N/A,#N/A,FALSE,"Vessel1 10";#N/A,#N/A,FALSE,"Vessel1 11"}</definedName>
    <definedName name="wrn.aaa." hidden="1">{#N/A,#N/A,FALSE,"Sheet1";#N/A,#N/A,FALSE,"Sheet1";#N/A,#N/A,FALSE,"Sheet1"}</definedName>
    <definedName name="wrn.Accretion." hidden="1">{"Accretion",#N/A,FALSE,"Assum"}</definedName>
    <definedName name="wrn.age._.ihzarat." hidden="1">{#N/A,#N/A,FALSE,"ihz. icmal";#N/A,#N/A,FALSE,"avans";#N/A,#N/A,FALSE,"mal_FF_icm";#N/A,#N/A,FALSE,"fat_ihz";#N/A,#N/A,FALSE,"söz_fiy_fark";#N/A,#N/A,FALSE,"kap2"}</definedName>
    <definedName name="wrn.age._.imalat.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1" hidden="1">{#N/A,#N/A,FALSE,"Aging Summary";#N/A,#N/A,FALSE,"Ratio Analysis";#N/A,#N/A,FALSE,"Test 120 Day Accts";#N/A,#N/A,FALSE,"Tickmarks"}</definedName>
    <definedName name="wrn.Aging.and._Trend._.Analysis.2" hidden="1">{#N/A,#N/A,FALSE,"Aging Summary";#N/A,#N/A,FALSE,"Ratio Analysis";#N/A,#N/A,FALSE,"Test 120 Day Accts";#N/A,#N/A,FALSE,"Tickmarks"}</definedName>
    <definedName name="wrn.Alex." hidden="1">{#N/A,#N/A,FALSE,"TradeSumm";#N/A,#N/A,FALSE,"StatsSumm"}</definedName>
    <definedName name="wrn.ALL." hidden="1">{"ALL",#N/A,FALSE,"ELECTRICAL"}</definedName>
    <definedName name="wrn.All._.Deparments._.Staffing._.Plans." hidden="1">{"Pgm Mngt S/P",#N/A,FALSE,"Prg Mgt";"Govt Rltns S/P",#N/A,FALSE,"Govt Rltns";"HR S/P",#N/A,FALSE,"HR";"B&amp;A S/P",#N/A,FALSE,"B&amp;A";"Prjt Cntrl S/P",#N/A,FALSE,"Prjct Cntrls";"Contracts S/P",#N/A,FALSE,"Cntrct";"QA S/P",#N/A,FALSE,"QA";"IT S/P",#N/A,FALSE,"IT";"DC S/P",#N/A,FALSE,"DC";"PMM S/P",#N/A,FALSE,"PMM";"HSE S/P",#N/A,FALSE,"HSE";"ENG'G S/P",#N/A,FALSE,"Eng'g";"Comm'g S/P",#N/A,FALSE,"Comm'g";"Const SP",#N/A,FALSE,"Cnstrctn";"Construction SP1",#N/A,FALSE,"Cnstrctn"}</definedName>
    <definedName name="wrn.All._.Departments._.CM." hidden="1">{"All Departments Cost Model Summary",#N/A,FALSE,"Ttl Prjct Cost";"Prm Mgnt CM",#N/A,FALSE,"Prg Mgt";"Govt Rltns CM",#N/A,FALSE,"Govt Rltns";"HR CM",#N/A,FALSE,"HR";"B&amp;A CM",#N/A,FALSE,"B&amp;A";"Prjt Cntl CM",#N/A,FALSE,"Prjct Cntrls";"Cntct CM",#N/A,FALSE,"Cntrct";"QA CM",#N/A,FALSE,"QA";"IT CM",#N/A,FALSE,"IT";"DC CM",#N/A,FALSE,"DC";"PMM CM",#N/A,FALSE,"PMM";"HSE CM",#N/A,FALSE,"HSE";"Eng'g CM",#N/A,FALSE,"Eng'g";"Cnstrctn CM",#N/A,FALSE,"Cnstrctn";"Comm'g CM",#N/A,FALSE,"Comm'g"}</definedName>
    <definedName name="wrn.All._.Financials." hidden="1">{#N/A,#N/A,TRUE,"Assumptions";#N/A,#N/A,TRUE,"Op Projection";#N/A,#N/A,TRUE,"Capital";#N/A,#N/A,TRUE,"Income";#N/A,#N/A,TRUE,"Balance";#N/A,#N/A,TRUE,"Sources&amp;Uses"}</definedName>
    <definedName name="wrn.ALL._.INST." hidden="1">{"ALL INST",#N/A,FALSE,"ELECTRICAL"}</definedName>
    <definedName name="wrn.ALL._.INST._1" hidden="1">{"ALL INST",#N/A,FALSE,"ELECTRICAL"}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heets." hidden="1">{#N/A,#N/A,FALSE,"HO Sum";#N/A,#N/A,FALSE,"HO Rates";#N/A,#N/A,FALSE,"Co Sum";#N/A,#N/A,FALSE,"Clients Office";#N/A,#N/A,FALSE,"Field Sum";#N/A,#N/A,FALSE,"Field Rates"}</definedName>
    <definedName name="wrn.ALL._1" hidden="1">{"ALL",#N/A,FALSE,"ELECTRICAL"}</definedName>
    <definedName name="wrn.Allowance._.Analysis." hidden="1">{#N/A,#N/A,FALSE,"F. Tax Analysis";#N/A,#N/A,FALSE,"G. Bond Analysis";#N/A,#N/A,FALSE,"H. Insurance Analysis"}</definedName>
    <definedName name="wrn.analysis1." hidden="1">{#N/A,#N/A,FALSE,"activity"}</definedName>
    <definedName name="wrn.Appendix." hidden="1">{#N/A,#N/A,TRUE,"Lines";#N/A,#N/A,TRUE,"Stations";#N/A,#N/A,TRUE,"Cap. Expenses";#N/A,#N/A,TRUE,"Land";#N/A,#N/A,TRUE,"Cen Proces Sys";#N/A,#N/A,TRUE,"telecom";#N/A,#N/A,TRUE,"Other"}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hidden="1">{"Assumptions",#N/A,FALSE,"Assum"}</definedName>
    <definedName name="wrn.Aylık." hidden="1">{#N/A,#N/A,FALSE,"Kümülatif Gelir Tablosu";#N/A,#N/A,FALSE,"Aylık Gelir Tablosu";#N/A,#N/A,FALSE,"Karş.Kümülatif Gelir Tab";#N/A,#N/A,FALSE,"Karş. Aylık Gelir Tab";#N/A,#N/A,FALSE,"Bilanço";#N/A,#N/A,FALSE,"Karşılaştırmalı Bilanço";#N/A,#N/A,FALSE,"Raşyo 1";#N/A,#N/A,FALSE,"Karşılaştırmalı Raşyolar"}</definedName>
    <definedName name="wrn.Backup." hidden="1">{#N/A,#N/A,FALSE,"SUBS";#N/A,#N/A,FALSE,"SUPERS";#N/A,#N/A,FALSE,"FINISHES";#N/A,#N/A,FALSE,"FITTINGS";#N/A,#N/A,FALSE,"SERVICES";#N/A,#N/A,FALSE,"SITEWORKS"}</definedName>
    <definedName name="wrn.backup1" hidden="1">{#N/A,#N/A,FALSE,"SUBS";#N/A,#N/A,FALSE,"SUPERS";#N/A,#N/A,FALSE,"FINISHES";#N/A,#N/A,FALSE,"FITTINGS";#N/A,#N/A,FALSE,"SERVICES";#N/A,#N/A,FALSE,"SITEWORKS"}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icfin." hidden="1">{"assets",#N/A,FALSE,"historicBS";"liab",#N/A,FALSE,"historicBS";"is",#N/A,FALSE,"historicIS";"ratios",#N/A,FALSE,"ratios"}</definedName>
    <definedName name="wrn.basicfin.2" hidden="1">{"assets",#N/A,FALSE,"historicBS";"liab",#N/A,FALSE,"historicBS";"is",#N/A,FALSE,"historicIS";"ratios",#N/A,FALSE,"ratios"}</definedName>
    <definedName name="wrn.BETON." hidden="1">{#N/A,#N/A,FALSE,"B1";#N/A,#N/A,FALSE,"B2";#N/A,#N/A,FALSE,"B3";#N/A,#N/A,FALSE,"B4";#N/A,#N/A,FALSE,"B5";#N/A,#N/A,FALSE,"B6";#N/A,#N/A,FALSE,"B7";#N/A,#N/A,FALSE,"B8";#N/A,#N/A,FALSE,"B9";#N/A,#N/A,FALSE,"B10";#N/A,#N/A,FALSE,"B11";#N/A,#N/A,FALSE,"B12";#N/A,#N/A,FALSE,"B13";#N/A,#N/A,FALSE,"B14";#N/A,#N/A,FALSE,"B15";#N/A,#N/A,FALSE,"B16"}</definedName>
    <definedName name="wrn.bh." hidden="1">{#N/A,#N/A,FALSE,"TELEFON"}</definedName>
    <definedName name="wrn.bh1." hidden="1">{#N/A,#N/A,FALSE,"TELEFON"}</definedName>
    <definedName name="wrn.BIMAL." hidden="1">{#N/A,#N/A,FALSE,"BRIM_ICMAL";#N/A,#N/A,FALSE,"ASE_KUR";#N/A,#N/A,FALSE,"ASE_YES";#N/A,#N/A,FALSE,"AM_KUR";#N/A,#N/A,FALSE,"AMU_YES";#N/A,#N/A,FALSE,"PAR_KUR";#N/A,#N/A,FALSE,"PAR_YES";#N/A,#N/A,FALSE,"YSE_KUR";#N/A,#N/A,FALSE,"YSE_YES";#N/A,#N/A,FALSE,"YMU_KUR";#N/A,#N/A,FALSE,"YM_YES"}</definedName>
    <definedName name="wrn.BM." hidden="1">{#N/A,#N/A,TRUE,"Basic";#N/A,#N/A,TRUE,"EXT-TABLE";#N/A,#N/A,TRUE,"STEEL";#N/A,#N/A,TRUE,"INT-Table";#N/A,#N/A,TRUE,"STEEL";#N/A,#N/A,TRUE,"Door"}</definedName>
    <definedName name="wrn.BM._1" hidden="1">{#N/A,#N/A,TRUE,"Basic";#N/A,#N/A,TRUE,"EXT-TABLE";#N/A,#N/A,TRUE,"STEEL";#N/A,#N/A,TRUE,"INT-Table";#N/A,#N/A,TRUE,"STEEL";#N/A,#N/A,TRUE,"Door"}</definedName>
    <definedName name="wrn.BPlan." hidden="1">{#N/A,#N/A,FALSE,"F_Plan";#N/A,#N/A,FALSE,"Parameter"}</definedName>
    <definedName name="wrn.C_01." hidden="1">{#N/A,#N/A,FALSE,"C_01 CASE 1";#N/A,#N/A,FALSE,"C_01 CASE 2"}</definedName>
    <definedName name="wrn.cables." hidden="1">{#N/A,#N/A,FALSE,"PAGEGARD-N&amp;B";#N/A,#N/A,FALSE,"SOMMAIRE";#N/A,#N/A,FALSE,"E1";#N/A,#N/A,FALSE,"E2";#N/A,#N/A,FALSE,"E4";#N/A,#N/A,FALSE,"E9";#N/A,#N/A,FALSE,"E10";#N/A,#N/A,FALSE,"E12";#N/A,#N/A,FALSE,"E13";#N/A,#N/A,FALSE,"E15";#N/A,#N/A,FALSE,"E16";#N/A,#N/A,FALSE,"E18";#N/A,#N/A,FALSE,"E19";#N/A,#N/A,FALSE,"E.total";#N/A,#N/A,FALSE,"transit"}</definedName>
    <definedName name="wrn.CAG." hidden="1">{#N/A,#N/A,FALSE,"CAG"}</definedName>
    <definedName name="wrn.Calulation._.Sheets." hidden="1">{#N/A,#N/A,FALSE,"cover";#N/A,#N/A,FALSE,"page_1";#N/A,#N/A,FALSE,"page_2";#N/A,#N/A,FALSE,"page_3";#N/A,#N/A,FALSE,"page_4"}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ri._.Ay." hidden="1">{#N/A,#N/A,FALSE,"Bilanço";#N/A,#N/A,FALSE,"Kümülatif Gelir Tablosu";#N/A,#N/A,FALSE,"Aylık Gelir Tablosu";#N/A,#N/A,FALSE,"Raşyo 1"}</definedName>
    <definedName name="wrn.CBA.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.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wrn.CBA_RO.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RO._1" hidden="1">{#N/A,#N/A,FALSE,"C-001";#N/A,#N/A,FALSE,"C-002";#N/A,#N/A,FALSE,"C-003";#N/A,#N/A,FALSE,"C-004";#N/A,#N/A,FALSE,"C-005";#N/A,#N/A,FALSE,"C-006";#N/A,#N/A,FALSE,"C-007";#N/A,#N/A,FALSE,"C-008";#N/A,#N/A,FALSE,"CF-001";#N/A,#N/A,FALSE,"H-001";#N/A,#N/A,FALSE,"P-001";#N/A,#N/A,FALSE,"P-002";#N/A,#N/A,FALSE,"P-003";#N/A,#N/A,FALSE,"P-004";#N/A,#N/A,FALSE,"P-005";#N/A,#N/A,FALSE,"P-006";#N/A,#N/A,FALSE,"P-001,2,3,4,5";#N/A,#N/A,FALSE,"P-007";#N/A,#N/A,FALSE,"X-001";#N/A,#N/A,FALSE,"X-004"}</definedName>
    <definedName name="wrn.CBA_ST.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BA_ST.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wrn.chi._.tiÆt." hidden="1">{#N/A,#N/A,FALSE,"Chi tiÆt"}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der." hidden="1">{#N/A,#N/A,FALSE,"Cider Segment";#N/A,#N/A,FALSE,"Bulmers";#N/A,#N/A,FALSE,"Ritz";#N/A,#N/A,FALSE,"Stag";#N/A,#N/A,FALSE,"Cider Others"}</definedName>
    <definedName name="wrn.CIRCUITS." hidden="1">{"DBANK",#N/A,FALSE,"PriceE";"CKTS",#N/A,FALSE,"PriceE"}</definedName>
    <definedName name="wrn.Citgo._.Status." hidden="1">{#N/A,#N/A,TRUE,"Task Status";#N/A,#N/A,TRUE,"Document Status";#N/A,#N/A,TRUE,"Percent Complete";#N/A,#N/A,TRUE,"Manhour Sum"}</definedName>
    <definedName name="wrn.Clients._.Office._.and._.sum." hidden="1">{#N/A,#N/A,FALSE,"Clients Office";#N/A,#N/A,FALSE,"Co Sum"}</definedName>
    <definedName name="wrn.Coded._.IAS._.FS." hidden="1">{"IASTrail",#N/A,FALSE,"IAS"}</definedName>
    <definedName name="wrn.COMBINED.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ng." hidden="1">{#N/A,#N/A,FALSE,"Sheet1"}</definedName>
    <definedName name="wrn.Consolidated._.Set." hidden="1">{"Consolidated IS w Ratios",#N/A,FALSE,"Consolidated";"Consolidated CF",#N/A,FALSE,"Consolidated";"Consolidated DCF",#N/A,FALSE,"Consolidated"}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ribution." hidden="1">{#N/A,#N/A,FALSE,"Contribution Analysis"}</definedName>
    <definedName name="wrn.Cost._.Report.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wrn.COST_SHEETS." hidden="1">{#N/A,#N/A,FALSE,"WBS 1.06";#N/A,#N/A,FALSE,"WBS 1.14";#N/A,#N/A,FALSE,"WBS 1.17";#N/A,#N/A,FALSE,"WBS 1.18"}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PB." hidden="1">{#N/A,#N/A,FALSE,"CPB"}</definedName>
    <definedName name="wrn.Crdonec._.cr._.oladreu._.1995._.aiar." hidden="1">{#N/A,#N/A,FALSE,"ZAP_FEB.XLS "}</definedName>
    <definedName name="wrn.Credit._.Summary." hidden="1">{#N/A,#N/A,FALSE,"Credit Summary"}</definedName>
    <definedName name="wrn.CSC." hidden="1">{"page1",#N/A,TRUE,"CSC";"page2",#N/A,TRUE,"CSC"}</definedName>
    <definedName name="wrn.CSC2" hidden="1">{"page1",#N/A,TRUE,"CSC";"page2",#N/A,TRUE,"CSC"}</definedName>
    <definedName name="wrn.csc2." hidden="1">{#N/A,#N/A,FALSE,"ORIX CSC"}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EMIR." hidden="1">{#N/A,#N/A,FALSE,"D1";#N/A,#N/A,FALSE,"D2";#N/A,#N/A,FALSE,"D3";#N/A,#N/A,FALSE,"D4";#N/A,#N/A,FALSE,"D5";#N/A,#N/A,FALSE,"D6";#N/A,#N/A,FALSE,"D7";#N/A,#N/A,FALSE,"D8";#N/A,#N/A,FALSE,"D9";#N/A,#N/A,FALSE,"D10";#N/A,#N/A,FALSE,"D11";#N/A,#N/A,FALSE,"D12";#N/A,#N/A,FALSE,"D13";#N/A,#N/A,FALSE,"D14";#N/A,#N/A,FALSE,"D15";#N/A,#N/A,FALSE,"D16"}</definedName>
    <definedName name="wrn.Departmentals." hidden="1">{#N/A,#N/A,TRUE,"Engineering Dept";#N/A,#N/A,TRUE,"Sales Dept";#N/A,#N/A,TRUE,"Marketing Dept";#N/A,#N/A,TRUE,"Admin Dept"}</definedName>
    <definedName name="wrn.Departmentals._1" hidden="1">{#N/A,#N/A,TRUE,"Engineering Dept";#N/A,#N/A,TRUE,"Sales Dept";#N/A,#N/A,TRUE,"Marketing Dept";#N/A,#N/A,TRUE,"Admin Dept"}</definedName>
    <definedName name="wrn.Departments." hidden="1">{#N/A,#N/A,FALSE,"Engineering Dept";#N/A,#N/A,FALSE,"Sales Dept";#N/A,#N/A,FALSE,"Marketing Dept";#N/A,#N/A,FALSE,"Admin Dept";#N/A,#N/A,FALSE,"Total Operating Expenses"}</definedName>
    <definedName name="wrn.Departments._1" hidden="1">{#N/A,#N/A,FALSE,"Engineering Dept";#N/A,#N/A,FALSE,"Sales Dept";#N/A,#N/A,FALSE,"Marketing Dept";#N/A,#N/A,FALSE,"Admin Dept";#N/A,#N/A,FALSE,"Total Operating Expenses"}</definedName>
    <definedName name="wrn.Detail." hidden="1">{"Detail",#N/A,FALSE,"Detail"}</definedName>
    <definedName name="wrn.dış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DPG." hidden="1">{"DPG",#N/A,FALSE,"ELECTRICAL"}</definedName>
    <definedName name="wrn.DPG._.INST." hidden="1">{"DPG INST",#N/A,FALSE,"ELECTRICAL"}</definedName>
    <definedName name="wrn.DPG._.INST._1" hidden="1">{"DPG INST",#N/A,FALSE,"ELECTRICAL"}</definedName>
    <definedName name="wrn.DPG._1" hidden="1">{"DPG",#N/A,FALSE,"ELECTRICAL"}</definedName>
    <definedName name="wrn.DPG_INST_SUMMARY." hidden="1">{"DPG_INST_SUMMARY",#N/A,FALSE,"SUMMARY-INSTS"}</definedName>
    <definedName name="wrn.DPG_INST_SUMMARY._1" hidden="1">{"DPG_INST_SUMMARY",#N/A,FALSE,"SUMMARY-INSTS"}</definedName>
    <definedName name="wrn.DPH." hidden="1">{"DPH",#N/A,FALSE,"ELECTRICAL"}</definedName>
    <definedName name="wrn.DPH._.INST." hidden="1">{"DPH INST",#N/A,FALSE,"ELECTRICAL"}</definedName>
    <definedName name="wrn.DPH._.INST._1" hidden="1">{"DPH INST",#N/A,FALSE,"ELECTRICAL"}</definedName>
    <definedName name="wrn.DPH._1" hidden="1">{"DPH",#N/A,FALSE,"ELECTRICAL"}</definedName>
    <definedName name="wrn.DPH_INST_SUMMARY." hidden="1">{"DPH_INST_SUMMARY",#N/A,FALSE,"SUMMARY-INSTS"}</definedName>
    <definedName name="wrn.DPH_INST_SUMMARY._1" hidden="1">{"DPH_INST_SUMMARY",#N/A,FALSE,"SUMMARY-INSTS"}</definedName>
    <definedName name="wrn.ekinci._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ekinci._.imalat." hidden="1">{#N/A,#N/A,TRUE,"ÝCMAL";#N/A,#N/A,TRUE,"22071CO";#N/A,#N/A,TRUE,"22072CO";#N/A,#N/A,TRUE,"22073CO";#N/A,#N/A,TRUE,"22074CK";#N/A,#N/A,TRUE,"22075CO";#N/A,#N/A,TRUE,"22076CO";#N/A,#N/A,TRUE,"22081BO";#N/A,#N/A,TRUE,"22082BO";#N/A,#N/A,TRUE,"22083BO";#N/A,#N/A,TRUE,"22084BO";#N/A,#N/A,TRUE,"22085BO";#N/A,#N/A,TRUE,"22086CO";#N/A,#N/A,TRUE,"22087CK";#N/A,#N/A,TRUE,"22091BO";#N/A,#N/A,TRUE,"22092BO";#N/A,#N/A,TRUE,"22093BO";#N/A,#N/A,TRUE,"22094BO";#N/A,#N/A,TRUE,"22095CO";#N/A,#N/A,TRUE,"22096CK";#N/A,#N/A,TRUE,"22101CO";#N/A,#N/A,TRUE,"22102CO";#N/A,#N/A,TRUE,"22103CO";#N/A,#N/A,TRUE,"22104CO";#N/A,#N/A,TRUE,"22106BK";#N/A,#N/A,TRUE,"22105CO";#N/A,#N/A,TRUE,"22106BK";#N/A,#N/A,TRUE,"22107BO";#N/A,#N/A,TRUE,"22131CK";#N/A,#N/A,TRUE,"22132CO";#N/A,#N/A,TRUE,"22133CO";#N/A,#N/A,TRUE,"22134CO";#N/A,#N/A,TRUE,"22141BK";#N/A,#N/A,TRUE,"22142BO";#N/A,#N/A,TRUE,"22143CO";#N/A,#N/A,TRUE,"22144CO";#N/A,#N/A,TRUE,"22145CO";#N/A,#N/A,TRUE,"22146CO";#N/A,#N/A,TRUE,"22161CO";#N/A,#N/A,TRUE,"22162CO";#N/A,#N/A,TRUE,"22163CK";#N/A,#N/A,TRUE,"22164CK";#N/A,#N/A,TRUE,"22165CO";#N/A,#N/A,TRUE,"22166CO";#N/A,#N/A,TRUE,"22167CO";#N/A,#N/A,TRUE,"22171CK";#N/A,#N/A,TRUE,"22172CO";#N/A,#N/A,TRUE,"22173CO";#N/A,#N/A,TRUE,"22174CK";#N/A,#N/A,TRUE,"22175CO";#N/A,#N/A,TRUE,"22176CO";#N/A,#N/A,TRUE,"22177CO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NTIRE." hidden="1">{#N/A,#N/A,FALSE,"Cover";#N/A,#N/A,FALSE,"Mech (Eng)";#N/A,#N/A,FALSE,"Mech2 (Eng)";#N/A,#N/A,FALSE,"Mech3 (Eng)";#N/A,#N/A,FALSE,"Mech4 (Eng)"}</definedName>
    <definedName name="wrn.Equipment._.List." hidden="1">{#N/A,#N/A,TRUE,"COVERSHEET";#N/A,#N/A,TRUE,"LEGEND";#N/A,#N/A,TRUE,"LIST"}</definedName>
    <definedName name="wrn.Equity._.Only." hidden="1">{"Equity Only",#N/A,FALSE,"NNGT1";"Equity Only",#N/A,FALSE,"NNT1";"Equity Only",#N/A,FALSE,"SNT1";"Equity Only",#N/A,FALSE,"BNT1";"Equity Only",#N/A,FALSE,"PNT1"}</definedName>
    <definedName name="wrn.Equity._.Only1." hidden="1">{"Equity Only",#N/A,FALSE,"NNGT1";"Equity Only",#N/A,FALSE,"NNT1";"Equity Only",#N/A,FALSE,"SNT1";"Equity Only",#N/A,FALSE,"BNT1";"Equity Only",#N/A,FALSE,"PNT1"}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hidden="1">{"Eur Base Top",#N/A,FALSE,"Europe Base";"Eur Base Bottom",#N/A,FALSE,"Europe Base"}</definedName>
    <definedName name="wrn.Europe._.Set." hidden="1">{"IS w Ratios",#N/A,FALSE,"Europe";"PF CF Europe",#N/A,FALSE,"Europe";"DCF Eur Matrix",#N/A,FALSE,"Europe"}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ecutive._.Review._.Report." hidden="1">{#N/A,#N/A,FALSE,"Executive Review Sheet";#N/A,#N/A,FALSE,"Summary of Estimate Components";#N/A,#N/A,FALSE,"Summary of Allowances"}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ar._.East._.Set." hidden="1">{"IS FE with Ratios",#N/A,FALSE,"Far East";"PF CF Far East",#N/A,FALSE,"Far East";"DCF Far East Matrix",#N/A,FALSE,"Far East"}</definedName>
    <definedName name="wrn.FCB." hidden="1">{"FCB_ALL",#N/A,FALSE,"FCB"}</definedName>
    <definedName name="wrn.fcb2" hidden="1">{"FCB_ALL",#N/A,FALSE,"FCB"}</definedName>
    <definedName name="wrn.FE._.Sensitivity." hidden="1">{"Far East Top",#N/A,FALSE,"FE Model";"Far East Mid",#N/A,FALSE,"FE Model";"Far East Base",#N/A,FALSE,"FE Model"}</definedName>
    <definedName name="wrn.Field._.Office._.and._.Sum." hidden="1">{#N/A,#N/A,FALSE,"Field Rates";#N/A,#N/A,FALSE,"Field Sum"}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ncials." hidden="1">{#N/A,#N/A,TRUE,"Balance Sheet";#N/A,#N/A,TRUE,"Income Statement";#N/A,#N/A,TRUE,"Statement of Cash Flows";#N/A,#N/A,TRUE,"Key Indicators"}</definedName>
    <definedName name="wrn.Financials._1" hidden="1">{#N/A,#N/A,TRUE,"Balance Sheet";#N/A,#N/A,TRUE,"Income Statement";#N/A,#N/A,TRUE,"Statement of Cash Flows";#N/A,#N/A,TRUE,"Key Indicators"}</definedName>
    <definedName name="wrn.Fixed._.Assets._.Note._.and._.Depreciation." hidden="1">{#N/A,#N/A,FALSE,"FA_1";#N/A,#N/A,FALSE,"Dep'n SE";#N/A,#N/A,FALSE,"Dep'n FC"}</definedName>
    <definedName name="wrn.FIZIB." hidden="1">{#N/A,#N/A,TRUE,"kapak";#N/A,#N/A,TRUE,"Paylaşım";#N/A,#N/A,TRUE,"Nakit Değerlendirme";#N/A,#N/A,TRUE,"Grafik";#N/A,#N/A,TRUE,"Nakit";#N/A,#N/A,TRUE," Nakit Tablosu";#N/A,#N/A,TRUE,"K-Z";#N/A,#N/A,TRUE,"Satış";#N/A,#N/A,TRUE,"Peşinat+Taksitler (2)";#N/A,#N/A,TRUE,"Peşinat+Taksitler";#N/A,#N/A,TRUE,"Maliyet";#N/A,#N/A,TRUE,"Maliyet Analizi 1.Etap";#N/A,#N/A,TRUE,"Maliyet Analizi 2.Etap ";#N/A,#N/A,TRUE,"iş Programı 1.Etap";#N/A,#N/A,TRUE,"iş Programı 2.Etap"}</definedName>
    <definedName name="wrn.for._.TenneT." hidden="1">{#N/A,#N/A,TRUE,"Cover";#N/A,#N/A,TRUE,"Corrections";#N/A,#N/A,TRUE,"Tariffs DTe";#N/A,#N/A,TRUE,"Revenues";#N/A,#N/A,TRUE,"Energie&amp;Vermogen";#N/A,#N/A,TRUE,"TPA";#N/A,#N/A,TRUE,"Opex 1";#N/A,#N/A,TRUE,"Capital Expenditures";#N/A,#N/A,TRUE,"Budget TenneT";#N/A,#N/A,TRUE,"P&amp;L";#N/A,#N/A,TRUE,"BS";#N/A,#N/A,TRUE,"Debt";#N/A,#N/A,TRUE,"Lines";#N/A,#N/A,TRUE,"Stations";#N/A,#N/A,TRUE,"Cap. Expenses";#N/A,#N/A,TRUE,"Land";#N/A,#N/A,TRUE,"Cen Proces Sys";#N/A,#N/A,TRUE,"telecom";#N/A,#N/A,TRUE,"Other"}</definedName>
    <definedName name="wrn.forecast." hidden="1">{#N/A,#N/A,FALSE,"model"}</definedName>
    <definedName name="wrn.forecastassumptions." hidden="1">{#N/A,#N/A,FALSE,"model"}</definedName>
    <definedName name="wrn.forecastROIC." hidden="1">{#N/A,#N/A,FALSE,"model"}</definedName>
    <definedName name="wrn.Fuel._.oil._.option." hidden="1">{"FUEL OIL",#N/A,FALSE,"Option"}</definedName>
    <definedName name="wrn.Full._.IAS._.STATEMENTS." hidden="1">{"IASBS",#N/A,FALSE,"IAS";"IASPL",#N/A,FALSE,"IAS";#N/A,#N/A,FALSE,"CF DIR";"IASNotes",#N/A,FALSE,"IAS";#N/A,#N/A,FALSE,"FA_1";#N/A,#N/A,FALSE,"Dep'n FC";#N/A,#N/A,FALSE,"Dep'n SE";#N/A,#N/A,FALSE,"Inv_1";#N/A,#N/A,FALSE,"NMG";#N/A,#N/A,FALSE,"Recon";#N/A,#N/A,FALSE,"EPS"}</definedName>
    <definedName name="wrn.Full._.TRAIL." hidden="1">{"IAS Mapping",#N/A,FALSE,"RSA_FS";#N/A,#N/A,FALSE,"CHECK!";#N/A,#N/A,FALSE,"Recon";#N/A,#N/A,FALSE,"NMG";#N/A,#N/A,FALSE,"Journals";"AnalRSA",#N/A,FALSE,"PL-Anal";"AnalIAS",#N/A,FALSE,"PL-Anal";#N/A,#N/A,FALSE,"COS"}</definedName>
    <definedName name="wrn.GENEL." hidden="1">{#N/A,#N/A,FALSE,"kap1";#N/A,#N/A,FALSE,"kap2";#N/A,#N/A,FALSE,"tem_mektubu";#N/A,#N/A,FALSE,"avans";#N/A,#N/A,FALSE,"söz_fiy_fark";#N/A,#N/A,FALSE,"fat_ihz"}</definedName>
    <definedName name="wrn.GIS." hidden="1">{#N/A,#N/A,FALSE,"GIS"}</definedName>
    <definedName name="wrn.glc." hidden="1">{"glcbs",#N/A,FALSE,"GLCBS";"glccsbs",#N/A,FALSE,"GLCCSBS";"glcis",#N/A,FALSE,"GLCIS";"glccsis",#N/A,FALSE,"GLCCSIS";"glcrat1",#N/A,FALSE,"GLC-ratios1"}</definedName>
    <definedName name="wrn.glcpromonte." hidden="1">{"glc1",#N/A,FALSE,"GLC";"glc2",#N/A,FALSE,"GLC";"glc3",#N/A,FALSE,"GLC";"glc4",#N/A,FALSE,"GLC";"glc5",#N/A,FALSE,"GLC"}</definedName>
    <definedName name="wrn.GRAPHS.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hakkari._.imalat." hidden="1">{#N/A,#N/A,FALSE,"HAB1CO";#N/A,#N/A,FALSE,"HAB2CO";#N/A,#N/A,FALSE,"HAB3BO";#N/A,#N/A,FALSE,"HAB4BO";#N/A,#N/A,FALSE,"HAB5BO";#N/A,#N/A,FALSE,"HAB6BK";#N/A,#N/A,FALSE,"HAB7CK";#N/A,#N/A,FALSE,"HAB8CO";#N/A,#N/A,FALSE,"HAC1CO";#N/A,#N/A,FALSE,"HAC2CO";#N/A,#N/A,FALSE,"HAC3CK";#N/A,#N/A,FALSE,"HAC4CO";#N/A,#N/A,FALSE,"HAC5CO";#N/A,#N/A,FALSE,"HAC6CO";#N/A,#N/A,FALSE,"HAC7CO";#N/A,#N/A,FALSE,"HAC8CK";#N/A,#N/A,FALSE,"HAG4BO";#N/A,#N/A,FALSE,"HAG5BK";#N/A,#N/A,FALSE,"HAI1CO";#N/A,#N/A,FALSE,"HAI2CO";#N/A,#N/A,FALSE,"HAI3BO";#N/A,#N/A,FALSE,"HAI4BO";#N/A,#N/A,FALSE,"HAI5CK";#N/A,#N/A,FALSE,"HAI6CO";#N/A,#N/A,FALSE,"ÝCMAL"}</definedName>
    <definedName name="wrn.Help." hidden="1">{#N/A,#N/A,TRUE,"MAP";#N/A,#N/A,TRUE,"STEPS";#N/A,#N/A,TRUE,"RULES"}</definedName>
    <definedName name="wrn.Historical._.Cost._.PWC." hidden="1">{#N/A,#N/A,TRUE,"Cover His PWC";#N/A,#N/A,TRUE,"P&amp;L";#N/A,#N/A,TRUE,"BS";#N/A,#N/A,TRUE,"Depreciation";#N/A,#N/A,TRUE,"GRAPHS";#N/A,#N/A,TRUE,"DCF EBITDA Multiple";#N/A,#N/A,TRUE,"DCF Perpetual Growth"}</definedName>
    <definedName name="wrn.Historical._.Cost._.TenneT." hidden="1">{#N/A,#N/A,TRUE,"Cover His T";#N/A,#N/A,TRUE,"P&amp;L";#N/A,#N/A,TRUE,"BS";#N/A,#N/A,TRUE,"Depreciation";#N/A,#N/A,TRUE,"GRAPHS";#N/A,#N/A,TRUE,"DCF EBITDA Multiple";#N/A,#N/A,TRUE,"DCF Perpetual Growth"}</definedName>
    <definedName name="wrn.history." hidden="1">{#N/A,#N/A,FALSE,"model"}</definedName>
    <definedName name="wrn.histROIC." hidden="1">{#N/A,#N/A,FALSE,"model"}</definedName>
    <definedName name="wrn.HNZ." hidden="1">{#N/A,#N/A,FALSE,"HNZ"}</definedName>
    <definedName name="wrn.HO._.Rates._.and._.Sum." hidden="1">{#N/A,#N/A,FALSE,"HO Rates";#N/A,#N/A,FALSE,"HO Sum"}</definedName>
    <definedName name="wrn.IAS._.BS._.PL._.CF._.and._.Notes." hidden="1">{"IASBS",#N/A,TRUE,"IAS";"IASPL",#N/A,TRUE,"IAS";"IASNotes",#N/A,TRUE,"IAS";"CFDir - expanded",#N/A,TRUE,"CF DIR"}</definedName>
    <definedName name="wrn.IAS._.FS._.ZOOMED._.IN._.Forms." hidden="1">{"IAS_ShortView_1",#N/A,FALSE,"IAS";"IAS_ShortView_2",#N/A,FALSE,"IAS";"IAS_ShortView_3",#N/A,FALSE,"IAS";"IAS_ShortView_4",#N/A,FALSE,"IAS";"IAS_ShortView_5",#N/A,FALSE,"IAS";"IAS_ShortView_6",#N/A,FALSE,"IAS";"IAS_ShortView_7",#N/A,FALSE,"IAS";"CFDir - Zoomed In",#N/A,FALSE,"CF DIR"}</definedName>
    <definedName name="wrn.IAS._.Mapping." hidden="1">{"IAS Mapping",#N/A,TRUE,"RSA_FS"}</definedName>
    <definedName name="wrn.IAS._.Only." hidden="1">{"IAS Only",#N/A,FALSE,"NNGT1";"IAS Only",#N/A,FALSE,"NNT1";"IAS Only",#N/A,FALSE,"SNT1";"IAS Only",#N/A,FALSE,"BNT1"}</definedName>
    <definedName name="wrn.IAS._.Only1." hidden="1">{"IAS Only",#N/A,FALSE,"NNGT1";"IAS Only",#N/A,FALSE,"NNT1";"IAS Only",#N/A,FALSE,"SNT1";"IAS Only",#N/A,FALSE,"BNT1"}</definedName>
    <definedName name="wrn.ihzarat.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wrn.ILAVE._.BETON." hidden="1">{#N/A,#N/A,FALSE,"B216 4-5'-9 (12 Hak)";#N/A,#N/A,FALSE,"B216 8 (12 Hak)";#N/A,#N/A,FALSE,"B214 4 (İlave) ";#N/A,#N/A,FALSE,"B214 3 (İlave) ";#N/A,#N/A,FALSE,"B214 2 (İlave)";#N/A,#N/A,FALSE,"B213 7 (İlave)";#N/A,#N/A,FALSE,"B210 12 (İlave)";#N/A,#N/A,FALSE,"B209 11 (İlave) ";#N/A,#N/A,FALSE,"B209 12 (İlave) ";#N/A,#N/A,FALSE,"B209 10 (İlave) ";#N/A,#N/A,FALSE,"B209 9 (İlave)";#N/A,#N/A,FALSE,"B209 6 (İlave) ";#N/A,#N/A,FALSE,"B207 (Ek)";#N/A,#N/A,FALSE,"B210 10 (İlave)"}</definedName>
    <definedName name="wrn.ILAVE._.DEMIR." hidden="1">{#N/A,#N/A,FALSE,"D216 4-5'-9 (12 Hak)";#N/A,#N/A,FALSE,"D216 8 (12 Hak)";#N/A,#N/A,FALSE,"D214 4 (İlave) ";#N/A,#N/A,FALSE,"D214 3 (İlave) ";#N/A,#N/A,FALSE,"D214 2 (İlave)";#N/A,#N/A,FALSE,"D213 7 (İlave)";#N/A,#N/A,FALSE,"D 210 12 (İlave)";#N/A,#N/A,FALSE,"D209 11 (İlave) ";#N/A,#N/A,FALSE,"D209 12 (İlave)  ";#N/A,#N/A,FALSE,"D209 10 (İlave) ";#N/A,#N/A,FALSE,"D209 9 (İlave)";#N/A,#N/A,FALSE,"D209 6 (İlave) ";#N/A,#N/A,FALSE,"D207 (Ek)";#N/A,#N/A,FALSE,"D 210 10 (İlave)"}</definedName>
    <definedName name="wrn.IMR." hidden="1">{#N/A,#N/A,TRUE,"Содержание";#N/A,#N/A,TRUE,"Выработка";#N/A,#N/A,TRUE,"Расход"}</definedName>
    <definedName name="wrn.Indirects." hidden="1">{"Budget",#N/A,TRUE,"Criteria";"Summary",#N/A,TRUE,"Summary";"Detail",#N/A,TRUE,"Detail";"Staff",#N/A,TRUE,"Staffing";"Equip",#N/A,TRUE,"Equipment"}</definedName>
    <definedName name="wrn.Inflation._.factors._.used." hidden="1">{#N/A,#N/A,FALSE,"Infl_fact"}</definedName>
    <definedName name="wrn.Inputs." hidden="1">{"Inflation-BaseYear",#N/A,FALSE,"Inputs"}</definedName>
    <definedName name="wrn.INS." hidden="1">{#N/A,#N/A,FALSE,"kap2";#N/A,#N/A,FALSE,"tem_mektubu";#N/A,#N/A,FALSE,"söz_fiy_fark";#N/A,#N/A,FALSE,"fat_ihz";#N/A,#N/A,FALSE,"ihz. icmal";#N/A,#N/A,FALSE,"inş_iç_ihz";#N/A,#N/A,FALSE,"inş_iç_tut";#N/A,#N/A,FALSE,"inş_iç_er"}</definedName>
    <definedName name="wrn.inst.list.5H" hidden="1">{#N/A,#N/A,TRUE,"Sheet1";#N/A,#N/A,TRUE,"Sheet2";#N/A,#N/A,TRUE,"Sheet3"}</definedName>
    <definedName name="wrn.INST_DPG." hidden="1">{"INST_DPG",#N/A,FALSE,"INST"}</definedName>
    <definedName name="wrn.INST_DPG._1" hidden="1">{"INST_DPG",#N/A,FALSE,"INST"}</definedName>
    <definedName name="wrn.INST_DPG_SUMMARY." hidden="1">{"INST_DPG_SUMMARY",#N/A,FALSE,"SUMMARY-INSTS (2)"}</definedName>
    <definedName name="wrn.INST_DPG_SUMMARY._1" hidden="1">{"INST_DPG_SUMMARY",#N/A,FALSE,"SUMMARY-INSTS (2)"}</definedName>
    <definedName name="wrn.INST_DPH." hidden="1">{"INST_DPH",#N/A,FALSE,"INST"}</definedName>
    <definedName name="wrn.INST_DPH._1" hidden="1">{"INST_DPH",#N/A,FALSE,"INST"}</definedName>
    <definedName name="wrn.INST_DPH_SUMMARY." hidden="1">{"INST_DPH_SUMMARY",#N/A,FALSE,"SUMMARY-INSTS (2)"}</definedName>
    <definedName name="wrn.INST_DPH_SUMMARY._1" hidden="1">{"INST_DPH_SUMMARY",#N/A,FALSE,"SUMMARY-INSTS (2)"}</definedName>
    <definedName name="wrn.INST_MTO_SUMMARY." hidden="1">{#N/A,#N/A,FALSE,"3"}</definedName>
    <definedName name="wrn.INST_MTO_SUMMARY._1" hidden="1">{#N/A,#N/A,FALSE,"3"}</definedName>
    <definedName name="wrn.INST_NASR." hidden="1">{"INST_NASR",#N/A,FALSE,"INST"}</definedName>
    <definedName name="wrn.INST_NASR._1" hidden="1">{"INST_NASR",#N/A,FALSE,"INST"}</definedName>
    <definedName name="wrn.INST_NASR_SUMMARY." hidden="1">{"INST_NASR_SUMMARY",#N/A,FALSE,"SUMMARY-INSTS (2)"}</definedName>
    <definedName name="wrn.INST_NASR_SUMMARY._1" hidden="1">{"INST_NASR_SUMMARY",#N/A,FALSE,"SUMMARY-INSTS (2)"}</definedName>
    <definedName name="wrn.INST_PPE." hidden="1">{"INST_PPE",#N/A,FALSE,"INST"}</definedName>
    <definedName name="wrn.INST_PPE._1" hidden="1">{"INST_PPE",#N/A,FALSE,"INST"}</definedName>
    <definedName name="wrn.INST_PPE_SUMMARY." hidden="1">{"INST_PPE_SUMMARY",#N/A,FALSE,"SUMMARY-INSTS (2)"}</definedName>
    <definedName name="wrn.INST_PPE_SUMMARY._1" hidden="1">{"INST_PPE_SUMMARY",#N/A,FALSE,"SUMMARY-INSTS (2)"}</definedName>
    <definedName name="wrn.INST_PR_MTO." hidden="1">{#N/A,#N/A,FALSE,"2"}</definedName>
    <definedName name="wrn.INST_PR_MTO._1" hidden="1">{#N/A,#N/A,FALSE,"2"}</definedName>
    <definedName name="wrn.INST_WPE1." hidden="1">{"INST_WPE1",#N/A,FALSE,"INST"}</definedName>
    <definedName name="wrn.INST_WPE1._1" hidden="1">{"INST_WPE1",#N/A,FALSE,"INST"}</definedName>
    <definedName name="wrn.INST_WPE1_INST." hidden="1">{"INST_WPE1",#N/A,FALSE,"SUMMARY-INSTS"}</definedName>
    <definedName name="wrn.INST_WPE1_INST._1" hidden="1">{"INST_WPE1",#N/A,FALSE,"SUMMARY-INSTS"}</definedName>
    <definedName name="wrn.INST_WPE1_SUMMARY." hidden="1">{"INST_WPE1_SUMMARY",#N/A,FALSE,"SUMMARY-INSTS (2)"}</definedName>
    <definedName name="wrn.INST_WPE1_SUMMARY._1" hidden="1">{"INST_WPE1_SUMMARY",#N/A,FALSE,"SUMMARY-INSTS (2)"}</definedName>
    <definedName name="wrn.INST_WPE2." hidden="1">{"INST_WPE2",#N/A,FALSE,"INST"}</definedName>
    <definedName name="wrn.INST_WPE2._1" hidden="1">{"INST_WPE2",#N/A,FALSE,"INST"}</definedName>
    <definedName name="wrn.INST_WPE2_SUMMARY." hidden="1">{"INST_WPE2_SUMMARY",#N/A,FALSE,"SUMMARY-INSTS (2)"}</definedName>
    <definedName name="wrn.INST_WPE2_SUMMARY._1" hidden="1">{"INST_WPE2_SUMMARY",#N/A,FALSE,"SUMMARY-INSTS (2)"}</definedName>
    <definedName name="wrn.INST_WPE3." hidden="1">{"INST_WPE3",#N/A,FALSE,"INST"}</definedName>
    <definedName name="wrn.INST_WPE3._1" hidden="1">{"INST_WPE3",#N/A,FALSE,"INST"}</definedName>
    <definedName name="wrn.INST_WPE3_SUMMARY." hidden="1">{"INST_WPE3_SUMMARY",#N/A,FALSE,"SUMMARY-INSTS (2)"}</definedName>
    <definedName name="wrn.INST_WPE3_SUMMARY._1" hidden="1">{"INST_WPE3_SUMMARY",#N/A,FALSE,"SUMMARY-INSTS (2)"}</definedName>
    <definedName name="wrn.INSTRUMENT._.LIST." hidden="1">{#N/A,#N/A,TRUE,"Sheet1";#N/A,#N/A,TRUE,"Sheet2";#N/A,#N/A,TRUE,"Sheet3"}</definedName>
    <definedName name="wrn.Introduction." hidden="1">{#N/A,#N/A,TRUE,"Cover";#N/A,#N/A,TRUE,"Valuation Summary";#N/A,#N/A,TRUE,"Valuation Summary (2)";#N/A,#N/A,TRUE,"FCF Summary";#N/A,#N/A,TRUE,"Macro Assumptions";#N/A,#N/A,TRUE,"Tariffs DTe";#N/A,#N/A,TRUE,"Revenues";#N/A,#N/A,TRUE,"System Services";#N/A,#N/A,TRUE,"TPA";#N/A,#N/A,TRUE,"Opex 1";#N/A,#N/A,TRUE,"Opex";#N/A,#N/A,TRUE,"Assumptions";#N/A,#N/A,TRUE,"Capital Expenditures";#N/A,#N/A,TRUE,"WACC_DTe";#N/A,#N/A,TRUE,"WACC";#N/A,#N/A,TRUE,"TComps";#N/A,#N/A,TRUE,"AComps";#N/A,#N/A,TRUE,"ACompsG"}</definedName>
    <definedName name="wrn.istinat." hidden="1">{#N/A,#N/A,FALSE,"NF_S1";#N/A,#N/A,FALSE,"İ_100M";#N/A,#N/A,FALSE,"İ_150M";#N/A,#N/A,FALSE,"İ_200M"}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JG._.FE._.Dollar." hidden="1">{"JG FE Top",#N/A,FALSE,"JG FE $";"JG FE Bottom",#N/A,FALSE,"JG FE $"}</definedName>
    <definedName name="wrn.JG._.FE._.Yen." hidden="1">{"JG FE Top",#N/A,FALSE,"JG FE ¥";"JG FE Bottom",#N/A,FALSE,"JG FE ¥"}</definedName>
    <definedName name="wrn.K." hidden="1">{#N/A,#N/A,FALSE,"K"}</definedName>
    <definedName name="wrn.KAL._.BÜR." hidden="1">{#N/A,#N/A,FALSE,"3";#N/A,#N/A,FALSE,"kal_iç_ihz";#N/A,#N/A,FALSE,"kal_iç_er";#N/A,#N/A,FALSE,"kal_iç_tut";#N/A,#N/A,FALSE,"5";#N/A,#N/A,FALSE,"brü_ihz";#N/A,#N/A,FALSE,"brü_er";#N/A,#N/A,FALSE,"brü_tut"}</definedName>
    <definedName name="wrn.KH.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0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1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7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8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_9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mb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2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3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4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5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6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_7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op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Corp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1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mb_2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.bis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.Corp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H.new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wrn.kocoglu._.imalat." hidden="1">{#N/A,#N/A,TRUE,"ÝCMAL";#N/A,#N/A,TRUE,"32361BO";#N/A,#N/A,TRUE,"32362BO";#N/A,#N/A,TRUE,"32363BO";#N/A,#N/A,TRUE,"32364BK";#N/A,#N/A,TRUE,"32365BO";#N/A,#N/A,TRUE,"32366BO";#N/A,#N/A,TRUE,"32367BK";#N/A,#N/A,TRUE,"32368BO";#N/A,#N/A,TRUE,"32371CO";#N/A,#N/A,TRUE,"32372CO";#N/A,#N/A,TRUE,"32373CO";#N/A,#N/A,TRUE,"32374CO";#N/A,#N/A,TRUE,"32375CO";#N/A,#N/A,TRUE,"32376CK";#N/A,#N/A,TRUE,"32381BO";#N/A,#N/A,TRUE,"32382BO";#N/A,#N/A,TRUE,"32383BO";#N/A,#N/A,TRUE,"32384BO";#N/A,#N/A,TRUE,"32385BO";#N/A,#N/A,TRUE,"32386BK";#N/A,#N/A,TRUE,"32391BO";#N/A,#N/A,TRUE,"32392BO";#N/A,#N/A,TRUE,"32393BO";#N/A,#N/A,TRUE,"32394BO";#N/A,#N/A,TRUE,"32395BK";#N/A,#N/A,TRUE,"32441CO";#N/A,#N/A,TRUE,"32442CO";#N/A,#N/A,TRUE,"32443CO";#N/A,#N/A,TRUE,"32444CO";#N/A,#N/A,TRUE,"32445CK";#N/A,#N/A,TRUE,"32451BO";#N/A,#N/A,TRUE,"32452BO";#N/A,#N/A,TRUE,"32453CO";#N/A,#N/A,TRUE,"32454CO";#N/A,#N/A,TRUE,"32455CK";#N/A,#N/A,TRUE,"32461CO";#N/A,#N/A,TRUE,"32462CO";#N/A,#N/A,TRUE,"32463CO";#N/A,#N/A,TRUE,"32464CO";#N/A,#N/A,TRUE,"32465CK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ISTE_CONSO." hidden="1">{#N/A,#N/A,FALSE,"PageGarde";#N/A,#N/A,FALSE,"Notes";#N/A,#N/A,FALSE,"LCE"}</definedName>
    <definedName name="wrn.Manpower." hidden="1">{#N/A,#N/A,TRUE,"COY TOTAL";#N/A,#N/A,TRUE,"3RD TRAIN EXP SUM";#N/A,#N/A,TRUE,"1173-LAGOS CO-ORD 3RD TRAIN EXP";#N/A,#N/A,TRUE,"3301-RET 3RD TRAIN EXP";#N/A,#N/A,TRUE,"3302-CONTEAM 3RD TRAIN EXP ";#N/A,#N/A,TRUE,"3303-PD 3RD TRAIN EXP";#N/A,#N/A,TRUE,"3304-START-UP-TEAM-3RD TRAIN ";#N/A,#N/A,TRUE,"1171-ECO";#N/A,#N/A,TRUE,"Fin Team-1174";#N/A,#N/A,TRUE,"HO TOTAL";#N/A,#N/A,TRUE,"1100-MD-SUM";#N/A,#N/A,TRUE,"1131-MD";#N/A,#N/A,TRUE,"1141-LG";#N/A,#N/A,TRUE,"1151-CPL";#N/A,#N/A,TRUE,"1161-LONDON OFFICE";#N/A,#N/A,TRUE,"1181-IAU";#N/A,#N/A,TRUE,"1400-DD SUM";#N/A,#N/A,TRUE,"1401-DD's OFFICE";#N/A,#N/A,TRUE,"1411-TAU";#N/A,#N/A,TRUE,"1421-ABUJA OFFICE";#N/A,#N/A,TRUE,"1500-CM-SUM";#N/A,#N/A,TRUE,"1501-CM's OFFICE";#N/A,#N/A,TRUE,"1502-CMM";#N/A,#N/A,TRUE,"1503-CMS";#N/A,#N/A,TRUE,"2100-HR SUM";#N/A,#N/A,TRUE,"2101-HR's OFFICE";#N/A,#N/A,TRUE,"2111-HRP";#N/A,#N/A,TRUE,"2121-HRA";#N/A,#N/A,TRUE,"2131-HRD";#N/A,#N/A,TRUE,"2300-FN-SUM";#N/A,#N/A,TRUE,"2301-FN's OFFICE";#N/A,#N/A,TRUE,"2311-FNC";#N/A,#N/A,TRUE,"2321-FNT";#N/A,#N/A,TRUE,"2331-FNI";#N/A,#N/A,TRUE,"2500-PAG-SUM";#N/A,#N/A,TRUE,"2501-GM's OFFICE";#N/A,#N/A,TRUE,"2511-PR";#N/A,#N/A,TRUE,"4000-PD SUM";#N/A,#N/A,TRUE,"GM PROD SUM";#N/A,#N/A,TRUE,"4001-GMPD's OFFICE";#N/A,#N/A,TRUE,"4011-PQM";#N/A,#N/A,TRUE,"4021-PFS";#N/A,#N/A,TRUE,"4031-PAF";#N/A,#N/A,TRUE,"4041-PC";#N/A,#N/A,TRUE,"4051-CR";#N/A,#N/A,TRUE,"4100-OP-SUM";#N/A,#N/A,TRUE,"4101-PO";#N/A,#N/A,TRUE,"4111-POL";#N/A,#N/A,TRUE,"4121-POU";#N/A,#N/A,TRUE,"4131-POT";#N/A,#N/A,TRUE,"4141-POM";#N/A,#N/A,TRUE,"4151-POG";#N/A,#N/A,TRUE,"4200-PE-SUM";#N/A,#N/A,TRUE,"4201-PE";#N/A,#N/A,TRUE,"4211-PEM";#N/A,#N/A,TRUE,"4221-PEQ";#N/A,#N/A,TRUE,"4231-PEE";#N/A,#N/A,TRUE,"4241-PEC";#N/A,#N/A,TRUE,"4251-PEO";#N/A,#N/A,TRUE,"4261-PEP";#N/A,#N/A,TRUE,"4271-PEI";#N/A,#N/A,TRUE,"4281-PES";#N/A,#N/A,TRUE,"4301-PT";#N/A,#N/A,TRUE,"4400-PS-SUM";#N/A,#N/A,TRUE,"4401-PS";#N/A,#N/A,TRUE,"4431-PSE";#N/A,#N/A,TRUE,"4441-PSS";#N/A,#N/A,TRUE,"4451-PST";#N/A,#N/A,TRUE,"4461-PSL";#N/A,#N/A,TRUE,"4471-PSM"}</definedName>
    <definedName name="wrn.May._.21." hidden="1">{#N/A,#N/A,TRUE,"Cover";#N/A,#N/A,TRUE,"Tariffs DTe";#N/A,#N/A,TRUE,"Revenues";#N/A,#N/A,TRUE,"Operating Expenses";#N/A,#N/A,TRUE,"Energy &amp; Power";#N/A,#N/A,TRUE,"Grid Costs";#N/A,#N/A,TRUE,"TPA";#N/A,#N/A,TRUE,"Maintenance";#N/A,#N/A,TRUE,"Personnel";#N/A,#N/A,TRUE,"General";#N/A,#N/A,TRUE,"P&amp;L";#N/A,#N/A,TRUE,"Capital Expenditures";#N/A,#N/A,TRUE,"Assumptions";#N/A,#N/A,TRUE,"Working Capital";#N/A,#N/A,TRUE,"Cash";#N/A,#N/A,TRUE,"Equity";#N/A,#N/A,TRUE,"Deferred Income";#N/A,#N/A,TRUE,"Provisions";#N/A,#N/A,TRUE,"Debt";#N/A,#N/A,TRUE,"BS";#N/A,#N/A,TRUE,"WACC_DTe"}</definedName>
    <definedName name="wrn.MCCRK." hidden="1">{#N/A,#N/A,FALSE,"MCCRK"}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eta4." hidden="1">{#N/A,#N/A,TRUE,"Basis";#N/A,#N/A,TRUE,"Fall ""A""";#N/A,#N/A,TRUE,"Fall ""B""";#N/A,#N/A,TRUE,"Fall ""B"" incl. Meta 4"}</definedName>
    <definedName name="wrn.MKESIF." hidden="1">{#N/A,#N/A,TRUE,"İcmal1";#N/A,#N/A,TRUE,"icmal2";#N/A,#N/A,TRUE,"1";#N/A,#N/A,TRUE,"2";#N/A,#N/A,TRUE,"3";#N/A,#N/A,TRUE,"4";#N/A,#N/A,TRUE,"5";#N/A,#N/A,TRUE,"6";#N/A,#N/A,TRUE,"7";#N/A,#N/A,TRUE,"8";#N/A,#N/A,TRUE,"9";#N/A,#N/A,TRUE,"10";#N/A,#N/A,TRUE,"11";#N/A,#N/A,TRUE,"12";#N/A,#N/A,TRUE,"13";#N/A,#N/A,TRUE,"14";#N/A,#N/A,TRUE,"15";#N/A,#N/A,TRUE,"16";#N/A,#N/A,TRUE,"17"}</definedName>
    <definedName name="wrn.Monthly._.Report." hidden="1">{#N/A,#N/A,TRUE,"Sales Comparison";#N/A,#N/A,TRUE,"Cum. Summary FFR";#N/A,#N/A,TRUE,"Monthly Summary FFR";#N/A,#N/A,TRUE,"Cum. Summary TL";#N/A,#N/A,TRUE,"Monthly Summary TL"}</definedName>
    <definedName name="wrn.mukayese." hidden="1">{#N/A,#N/A,FALSE,"İcmal1";#N/A,#N/A,FALSE,"icmal2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}</definedName>
    <definedName name="wrn.müşterek.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wrn.NA." hidden="1">{#N/A,#N/A,FALSE,"NA"}</definedName>
    <definedName name="wrn.NA._.Model._.T._.and._.B." hidden="1">{"NA Top",#N/A,FALSE,"NA Model";"NA Bottom",#N/A,FALSE,"NA Model"}</definedName>
    <definedName name="wrn.NA_ULV._.Tand._.B." hidden="1">{"NA Top",#N/A,FALSE,"NA-ULV";"NA Bottom",#N/A,FALSE,"NA-ULV"}</definedName>
    <definedName name="wrn.nakliye." hidden="1">{#N/A,#N/A,FALSE,"NAKLİYE_MESAFE";#N/A,#N/A,FALSE,"NF_01";#N/A,#N/A,FALSE,"NF_02";#N/A,#N/A,FALSE,"NF_03";#N/A,#N/A,FALSE,"NF_04";#N/A,#N/A,FALSE,"NF_05";#N/A,#N/A,FALSE,"NF_06"}</definedName>
    <definedName name="wrn.NASR_ISLAND_INST_SUMMARY." hidden="1">{"NASR_ISLAND_INST_SUMMARY",#N/A,FALSE,"SUMMARY-INSTS"}</definedName>
    <definedName name="wrn.NASR_ISLAND_INST_SUMMARY._1" hidden="1">{"NASR_ISLAND_INST_SUMMARY",#N/A,FALSE,"SUMMARY-INSTS"}</definedName>
    <definedName name="wrn.NNG._.Consolidation.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wrn.North._.America._.Set." hidden="1">{"NA Is w Ratios",#N/A,FALSE,"North America";"PF CFlow NA",#N/A,FALSE,"North America";"NA DCF Matrix",#N/A,FALSE,"North America"}</definedName>
    <definedName name="wrn.NWN_QUOTES." hidden="1">{"NWN_Q1810",#N/A,FALSE,"Q1810_1.V";"NWN_Q1412",#N/A,FALSE,"Q1412_1"}</definedName>
    <definedName name="wrn.NWN_QUOTES._1" hidden="1">{"NWN_Q1810",#N/A,FALSE,"Q1810_1.V";"NWN_Q1412",#N/A,FALSE,"Q1412_1"}</definedName>
    <definedName name="wrn.opex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pex._.latest." hidden="1">{#N/A,#N/A,TRUE,"COY SUM";#N/A,#N/A,TRUE,"SUM 3RD TRAIN EXPANSION";#N/A,#N/A,TRUE,"1173-LAGOS CO-ORDTN 3RD TRAIN ";#N/A,#N/A,TRUE,"RET-3RD TRAIN -3301";#N/A,#N/A,TRUE,"CONTEAM 3RD TRAIN -3302";#N/A,#N/A,TRUE,"PD 3RD TRAIN -3303";#N/A,#N/A,TRUE,"3304-START-UP-3RD TRAIN";#N/A,#N/A,TRUE,"ECO 4TH &amp; 5TH-1171";#N/A,#N/A,TRUE,"Fin Team 1174";#N/A,#N/A,TRUE,"HO SUM";#N/A,#N/A,TRUE,"MD SUM-1100";#N/A,#N/A,TRUE,"BOD-1111";#N/A,#N/A,TRUE,"CHM-1121";#N/A,#N/A,TRUE,"MD-1131";#N/A,#N/A,TRUE,"LG-1141";#N/A,#N/A,TRUE,"CPL-1151";#N/A,#N/A,TRUE,"LONDON OFFICE-1161";#N/A,#N/A,TRUE,"IAU- 1181";#N/A,#N/A,TRUE,"DD SUM-1400";#N/A,#N/A,TRUE,"DD OFFICE-1401";#N/A,#N/A,TRUE,"TAU-1411";#N/A,#N/A,TRUE,"ABUJA OFFICE-LOF2-1421";#N/A,#N/A,TRUE,"CM SUM-1500";#N/A,#N/A,TRUE,"CM's OFFICE-1501";#N/A,#N/A,TRUE,"CMM-1502";#N/A,#N/A,TRUE,"CMS-1503";#N/A,#N/A,TRUE,"GAS de FRANCE-11413";#N/A,#N/A,TRUE,"Botas 11414";#N/A,#N/A,TRUE,"HR SUM-2100";#N/A,#N/A,TRUE,"HR-2101";#N/A,#N/A,TRUE,"HRP-2111";#N/A,#N/A,TRUE,"HRA-2121";#N/A,#N/A,TRUE,"HRD-2131";#N/A,#N/A,TRUE,"FN SUM-2300";#N/A,#N/A,TRUE,"FN -2301";#N/A,#N/A,TRUE,"FNC-2311";#N/A,#N/A,TRUE,"FNT-2321";#N/A,#N/A,TRUE,"FNI-2331";#N/A,#N/A,TRUE,"PAG SUM-2500";#N/A,#N/A,TRUE,"GM PAG-2501";#N/A,#N/A,TRUE,"PR - 2511";#N/A,#N/A,TRUE,"PD BASE SUM -4000";#N/A,#N/A,TRUE,"GM PD SUM";#N/A,#N/A,TRUE,"GM PROD OFFICE-4001";#N/A,#N/A,TRUE,"PQM -4011";#N/A,#N/A,TRUE,"PFS-4021";#N/A,#N/A,TRUE,"PAF-4031";#N/A,#N/A,TRUE,"COM STU-PC-4041";#N/A,#N/A,TRUE,"COM REL-CR-4051";#N/A,#N/A,TRUE,"SUM OPERATIONS-4100";#N/A,#N/A,TRUE,"OPERATION MANAGER -PO-4101 ";#N/A,#N/A,TRUE,"HEAD PROCESS-POL-4111";#N/A,#N/A,TRUE,"HEAD UTILITIES-POU-4121";#N/A,#N/A,TRUE,"HEAD TERMINAL-POT-4131";#N/A,#N/A,TRUE,"HEAD MARINE-POM-4141";#N/A,#N/A,TRUE,"HEAD PIPELINE-POG-4151";#N/A,#N/A,TRUE,"SUM ENGINEERING-4200";#N/A,#N/A,TRUE,"PE-4201";#N/A,#N/A,TRUE,"HEAD MECH -PEM-4211";#N/A,#N/A,TRUE,"HEAD INSPECTION-PEQ-4221";#N/A,#N/A,TRUE,"HEAD ELECT-PEE-4231";#N/A,#N/A,TRUE,"HEAD CIVIL-PEC-4241";#N/A,#N/A,TRUE,"HEAD PROJECTS-PEO-4251";#N/A,#N/A,TRUE,"HEAD MATERIALS-PEP-4261";#N/A,#N/A,TRUE,"HEAD INSTRUM-PEI-4271";#N/A,#N/A,TRUE,"HEAD SHUTDOWNS-PES-4281";#N/A,#N/A,TRUE,"TECHNICAL MANAGER-PT-4301";#N/A,#N/A,TRUE,"SUM GENERAL SERVICES-PS-4400";#N/A,#N/A,TRUE,"PS-4401";#N/A,#N/A,TRUE,"HEAD ESTATE -PSE-4431";#N/A,#N/A,TRUE,"HEAD GEN SERV-PSS-4441";#N/A,#N/A,TRUE,"HEAD TRAINING-PST-4451";#N/A,#N/A,TRUE,"HEAD MASTER-PSL-4461";#N/A,#N/A,TRUE,"CHIEF MEDICAL OFFICER-PSM-4471"}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Output3Column." hidden="1">{"Output-3Column",#N/A,FALSE,"Output"}</definedName>
    <definedName name="wrn.OutputAll." hidden="1">{"Output-All",#N/A,FALSE,"Output"}</definedName>
    <definedName name="wrn.OutputBaseYear." hidden="1">{"Output-BaseYear",#N/A,FALSE,"Output"}</definedName>
    <definedName name="wrn.OutputMin." hidden="1">{"Output-Min",#N/A,FALSE,"Output"}</definedName>
    <definedName name="wrn.OutputPercent." hidden="1">{"Output%",#N/A,FALSE,"Output"}</definedName>
    <definedName name="wrn.oztas._.imalat." hidden="1">{#N/A,#N/A,TRUE,"ÝCMAL";#N/A,#N/A,TRUE,"25101CO";#N/A,#N/A,TRUE,"25102CO";#N/A,#N/A,TRUE,"25103CK";#N/A,#N/A,TRUE,"25104CO";#N/A,#N/A,TRUE,"25201BO";#N/A,#N/A,TRUE,"25202BO";#N/A,#N/A,TRUE,"25203BO";#N/A,#N/A,TRUE,"25204BO";#N/A,#N/A,TRUE,"25205BO";#N/A,#N/A,TRUE,"25206BO";#N/A,#N/A,TRUE,"25207BO";#N/A,#N/A,TRUE,"25208BO";#N/A,#N/A,TRUE,"25209BK";#N/A,#N/A,TRUE,"25301BO";#N/A,#N/A,TRUE,"25302BO";#N/A,#N/A,TRUE,"25303BO";#N/A,#N/A,TRUE,"25304BO";#N/A,#N/A,TRUE,"25305BO";#N/A,#N/A,TRUE,"25306BO";#N/A,#N/A,TRUE,"25307BK";#N/A,#N/A,TRUE,"25701CK";#N/A,#N/A,TRUE,"25702CO";#N/A,#N/A,TRUE,"25703BO";#N/A,#N/A,TRUE,"25704BO";#N/A,#N/A,TRUE,"25705BO";#N/A,#N/A,TRUE,"25801BO";#N/A,#N/A,TRUE,"25802BO";#N/A,#N/A,TRUE,"25803BO";#N/A,#N/A,TRUE,"25804CO";#N/A,#N/A,TRUE,"25805CK";#N/A,#N/A,TRUE,"25901CO";#N/A,#N/A,TRUE,"25902CK";#N/A,#N/A,TRUE,"25903CO";#N/A,#N/A,TRUE,"25904CO";#N/A,#N/A,TRUE,"25905CO";#N/A,#N/A,TRUE,"25906CO";#N/A,#N/A,TRUE,"25907CO";#N/A,#N/A,TRUE,"25908CO";#N/A,#N/A,TRUE,"25909CO";#N/A,#N/A,TRUE,"25910CK";#N/A,#N/A,TRUE,"26001CO";#N/A,#N/A,TRUE,"26002CO";#N/A,#N/A,TRUE,"26003CO";#N/A,#N/A,TRUE,"26004CK";#N/A,#N/A,TRUE,"26005CO";#N/A,#N/A,TRUE,"277301CO";#N/A,#N/A,TRUE,"277302CO";#N/A,#N/A,TRUE,"277303CO";#N/A,#N/A,TRUE,"277304CK";#N/A,#N/A,TRUE,"277305CO";#N/A,#N/A,TRUE,"277306CO";#N/A,#N/A,TRUE,"277401CO";#N/A,#N/A,TRUE,"277402CO";#N/A,#N/A,TRUE,"277403CO";#N/A,#N/A,TRUE,"277404CK";#N/A,#N/A,TRUE,"277405CO";#N/A,#N/A,TRUE,"277501CK";#N/A,#N/A,TRUE,"277502CO";#N/A,#N/A,TRUE,"277503CO"}</definedName>
    <definedName name="wrn.PANELS.ETC." hidden="1">{"PANELS.L.FITTINGS",#N/A,FALSE,"ELECTRICAL"}</definedName>
    <definedName name="wrn.PANELS.ETC._1" hidden="1">{"PANELS.L.FITTINGS",#N/A,FALSE,"ELECTRICAL"}</definedName>
    <definedName name="wrn.PENDENCIAS." hidden="1">{#N/A,#N/A,FALSE,"GERAL";#N/A,#N/A,FALSE,"012-96";#N/A,#N/A,FALSE,"018-96";#N/A,#N/A,FALSE,"027-96";#N/A,#N/A,FALSE,"059-96";#N/A,#N/A,FALSE,"076-96";#N/A,#N/A,FALSE,"019-97";#N/A,#N/A,FALSE,"021-97";#N/A,#N/A,FALSE,"022-97";#N/A,#N/A,FALSE,"028-97"}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._.Analysis." hidden="1">{"AnalRSA",#N/A,TRUE,"PL-Anal";"AnalIAS",#N/A,TRUE,"PL-Anal"}</definedName>
    <definedName name="wrn.PPE." hidden="1">{"PPE",#N/A,FALSE,"ELECTRICAL"}</definedName>
    <definedName name="wrn.PPE._1" hidden="1">{"PPE",#N/A,FALSE,"ELECTRICAL"}</definedName>
    <definedName name="wrn.PPE_INST." hidden="1">{"PPE_INST",#N/A,FALSE,"INST"}</definedName>
    <definedName name="wrn.PPE_INST._1" hidden="1">{"PPE_INST",#N/A,FALSE,"INST"}</definedName>
    <definedName name="wrn.PPE_INST_SUMMARY." hidden="1">{"PPE_INST_SUMMARY",#N/A,FALSE,"SUMMARY-INSTS"}</definedName>
    <definedName name="wrn.PPE_INST_SUMMARY._1" hidden="1">{"PPE_INST_SUMMARY",#N/A,FALSE,"SUMMARY-INSTS"}</definedName>
    <definedName name="wrn.pq98o2a.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wrn.PR98." hidden="1">{#N/A,#N/A,FALSE,"OVERVIEW 98";#N/A,#N/A,FALSE,"PMD 98  to 2000";#N/A,#N/A,FALSE,"SMD 98 to 2000";#N/A,#N/A,FALSE,"Facilities98";#N/A,#N/A,FALSE,"Quality"}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All._.Exhibits." hidden="1">{"Inc Stmt Dollar",#N/A,FALSE,"IS";"Inc Stmt CS",#N/A,FALSE,"IS";"BS Dollar",#N/A,FALSE,"BS";"BS CS",#N/A,FALSE,"BS";"CF Dollar",#N/A,FALSE,"CF";"Ratio No.1",#N/A,FALSE,"Ratio";"Ratio No.2",#N/A,FALSE,"Ratio"}</definedName>
    <definedName name="wrn.Print._.BS._.Exhibits." hidden="1">{"BS Dollar",#N/A,FALSE,"BS";"BS CS",#N/A,FALSE,"BS"}</definedName>
    <definedName name="wrn.Print._.CF._.Exhibit." hidden="1">{"CF Dollar",#N/A,FALSE,"CF"}</definedName>
    <definedName name="wrn.Print._.Europe._.TandB." hidden="1">{"Print Top",#N/A,FALSE,"Europe Model";"Print Bottom",#N/A,FALSE,"Europe Model"}</definedName>
    <definedName name="wrn.Print._.FE._.T._.and._.B." hidden="1">{"Far East Top",#N/A,FALSE,"FE Model";"Far East Bottom",#N/A,FALSE,"FE Model"}</definedName>
    <definedName name="wrn.print._.graphs." hidden="1">{"cap_structure",#N/A,FALSE,"Graph-Mkt Cap";"price",#N/A,FALSE,"Graph-Price";"ebit",#N/A,FALSE,"Graph-EBITDA";"ebitda",#N/A,FALSE,"Graph-EBITDA"}</definedName>
    <definedName name="wrn.Print._.IS._.Exhibits." hidden="1">{"Inc Stmt Dollar",#N/A,FALSE,"IS";"Inc Stmt CS",#N/A,FALSE,"IS"}</definedName>
    <definedName name="wrn.Print._.Output." hidden="1">{#N/A,#N/A,FALSE,"OUTPUT SHEET "}</definedName>
    <definedName name="wrn.Print._.Ratio._.Exhibits." hidden="1">{"Ratio No.1",#N/A,FALSE,"Ratio";"Ratio No.2",#N/A,FALSE,"Ratio"}</definedName>
    <definedName name="wrn.print._.raw._.data._.entry." hidden="1">{"inputs raw data",#N/A,TRUE,"INPUT"}</definedName>
    <definedName name="wrn.print._.standalone." hidden="1">{"standalone1",#N/A,FALSE,"DCFBase";"standalone2",#N/A,FALSE,"DCFBase"}</definedName>
    <definedName name="wrn.print._.summary._.sheets." hidden="1">{"summary1",#N/A,TRUE,"Comps";"summary2",#N/A,TRUE,"Comps";"summary3",#N/A,TRUE,"Comps"}</definedName>
    <definedName name="wrn.print._.summary._.sheets.2" hidden="1">{"summary1",#N/A,TRUE,"Comps";"summary2",#N/A,TRUE,"Comps";"summary3",#N/A,TRUE,"Comps"}</definedName>
    <definedName name="wrn.Print._1" hidden="1">{"vi1",#N/A,FALSE,"Financial Statements";"vi2",#N/A,FALSE,"Financial Statements";#N/A,#N/A,FALSE,"DCF"}</definedName>
    <definedName name="wrn.Print_All." hidden="1">{"Summary",#N/A,FALSE,"Valuation Summary";"Financial Statements",#N/A,FALSE,"Results";"FCF",#N/A,FALSE,"Results"}</definedName>
    <definedName name="wrn.Print_All_S2" hidden="1">{"Summary",#N/A,FALSE,"Valuation Summary";"Financial Statements",#N/A,FALSE,"Results";"FCF",#N/A,FALSE,"Results"}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SC." hidden="1">{"CSC_1",#N/A,FALSE,"CSC Outputs";"CSC_2",#N/A,FALSE,"CSC Outputs"}</definedName>
    <definedName name="wrn.Print_CSC2" hidden="1">{"CSC_1",#N/A,FALSE,"CSC Outputs";"CSC_2",#N/A,FALSE,"CSC Outputs"}</definedName>
    <definedName name="wrn.Print_FCF." hidden="1">{"FCF",#N/A,FALSE,"Results"}</definedName>
    <definedName name="wrn.Print_FCF_S2" hidden="1">{"FCF",#N/A,FALSE,"Results"}</definedName>
    <definedName name="wrn.Print_Financials." hidden="1">{"Financial Statements",#N/A,FALSE,"Results"}</definedName>
    <definedName name="wrn.Print_Financials_S2" hidden="1">{"Financial Statements",#N/A,FALSE,"Results"}</definedName>
    <definedName name="wrn.Print_Summary." hidden="1">{"Summary",#N/A,FALSE,"Valuation Summary"}</definedName>
    <definedName name="wrn.Print_Summary_S2" hidden="1">{"Summary",#N/A,FALSE,"Valuation Summary"}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95and96." hidden="1">{"print95",#N/A,FALSE,"1995E.XLS";"print96",#N/A,FALSE,"1996E.XLS"}</definedName>
    <definedName name="wrn.PrintAll." hidden="1">{#N/A,#N/A,FALSE,"BactESD";#N/A,#N/A,FALSE,"Sealine";#N/A,#N/A,FALSE,"SPOTS";#N/A,#N/A,FALSE,"Bacton IR &amp; Propane"}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ing." hidden="1">{"head",#N/A,TRUE,"Head page";"revision",#N/A,TRUE,"Page Revision";"contents",#N/A,TRUE,"Table of contents";"calcul",#N/A,TRUE,"Calculation sheets"}</definedName>
    <definedName name="wrn.prix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ix1." hidden="1">{#N/A,#N/A,TRUE,"Page de garde";#N/A,#N/A,TRUE,"Estimation ingénierie";#N/A,#N/A,TRUE,"Synthése des heures";#N/A,#N/A,TRUE,"Etudes préliminaires";#N/A,#N/A,TRUE,"Avant projet";#N/A,#N/A,TRUE,"Projet";#N/A,#N/A,TRUE,"Approvisionnement";#N/A,#N/A,TRUE,"Construction";#N/A,#N/A,TRUE,"Essais  mise en route"}</definedName>
    <definedName name="wrn.Profile._.and._.Basis." hidden="1">{#N/A,#N/A,FALSE,"Project Profile";#N/A,#N/A,FALSE,"Basis of Estimate"}</definedName>
    <definedName name="wrn.Radio." hidden="1">{#N/A,#N/A,FALSE,"Virgin Flightdeck"}</definedName>
    <definedName name="wrn.raport.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.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port1" hidden="1">{#N/A,#N/A,TRUE,"B P&amp;L";#N/A,#N/A,TRUE,"B P&amp;L mos";#N/A,#N/A,TRUE,"B Vol";#N/A,#N/A,TRUE,"B KFI1";#N/A,#N/A,TRUE,"B KFI2";#N/A,#N/A,TRUE,"B KFD R";#N/A,#N/A,TRUE,"B KFD R mos";#N/A,#N/A,TRUE,"B KPI R";#N/A,#N/A,TRUE,"B KFD C";#N/A,#N/A,TRUE,"B KFD C mos";#N/A,#N/A,TRUE,"B KPI C";#N/A,#N/A,TRUE,"B KFD F";#N/A,#N/A,TRUE,"B KFD F mos";#N/A,#N/A,TRUE,"B KPI F";#N/A,#N/A,TRUE,"HR KI mos";#N/A,#N/A,TRUE,"B HR";#N/A,#N/A,TRUE,"HR KPI";#N/A,#N/A,TRUE,"NHR KFD";#N/A,#N/A,TRUE,"NHR KFD mos";#N/A,#N/A,TRUE,"CB P&amp;L RS";#N/A,#N/A,TRUE,"CB Vol ";#N/A,#N/A,TRUE,"CB Vol RS";#N/A,#N/A,TRUE,"R KFD RS";#N/A,#N/A,TRUE,"R KPI RS";#N/A,#N/A,TRUE,"C KFD RS";#N/A,#N/A,TRUE,"C KPI RS"}</definedName>
    <definedName name="wrn.ratio." hidden="1">{#N/A,#N/A,FALSE,"JACKETS (1100 t) (1)"}</definedName>
    <definedName name="wrn.ratiomvr" hidden="1">{#N/A,#N/A,FALSE,"JACKETS (1100 t) (1)"}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dundant._.Equipment._.Option." hidden="1">{"pumps",#N/A,FALSE,"Option"}</definedName>
    <definedName name="wrn.Replacement._.Cost." hidden="1">{#N/A,#N/A,TRUE,"Cover Repl";#N/A,#N/A,TRUE,"P&amp;L";#N/A,#N/A,TRUE,"P&amp;L (2)";#N/A,#N/A,TRUE,"BS";#N/A,#N/A,TRUE,"Depreciation";#N/A,#N/A,TRUE,"GRAPHS";#N/A,#N/A,TRUE,"DCF EBITDA Multiple";#N/A,#N/A,TRUE,"DCF Perpetual Growth"}</definedName>
    <definedName name="wrn.report." hidden="1">{#N/A,#N/A,FALSE,"COVER.XLS";#N/A,#N/A,FALSE,"RACT1.XLS";#N/A,#N/A,FALSE,"RACT2.XLS";#N/A,#N/A,FALSE,"ECCMP";#N/A,#N/A,FALSE,"WELDER.XLS"}</definedName>
    <definedName name="wrn.report._1" hidden="1">{#N/A,#N/A,FALSE,"COVER.XLS";#N/A,#N/A,FALSE,"RACT1.XLS";#N/A,#N/A,FALSE,"RACT2.XLS";#N/A,#N/A,FALSE,"ECCMP";#N/A,#N/A,FALSE,"WELDER.XLS"}</definedName>
    <definedName name="wrn.REPORT1." hidden="1">{"PRINTME",#N/A,FALSE,"FINAL-10"}</definedName>
    <definedName name="wrn.Report2" hidden="1">{"PRINTME",#N/A,FALSE,"FINAL-10"}</definedName>
    <definedName name="wrn.Residential." hidden="1">{"ECA Qtrs C",#N/A,TRUE,"ECA_Qtrs_C";"ECA Qtrs D",#N/A,TRUE,"ECA_Qtrs_D";"ECA Qtrs F",#N/A,TRUE,"ECA_Qtrs_F";"ECA Qtrs G",#N/A,TRUE,"ECA_Qtrs_G";"ECA SisterApt",#N/A,TRUE,"ECA_SisterApt";"ECA Nurses",#N/A,TRUE,"ECA_NursesHostel"}</definedName>
    <definedName name="wrn.RESULTS.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wrn.Rev._.0." hidden="1">{"Rev 0 Normal",#N/A,FALSE,"FNM Plan-Rev 0";"Rev 0 Pricing",#N/A,FALSE,"FNM Plan-Rev 0"}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SA._.BS._.and._.PL." hidden="1">{"BS1",#N/A,TRUE,"RSA_FS";"BS2",#N/A,TRUE,"RSA_FS";"BS3",#N/A,TRUE,"RSA_FS"}</definedName>
    <definedName name="wrn.SE._.12._.FOT." hidden="1">{#N/A,#N/A,TRUE,"Cover";#N/A,#N/A,TRUE,"Sched 2";#N/A,#N/A,TRUE,"Sched 3";#N/A,#N/A,TRUE,"Sched 4";#N/A,#N/A,TRUE,"Sched 9"}</definedName>
    <definedName name="wrn.SIHHI." hidden="1">{#N/A,#N/A,FALSE,"1";#N/A,#N/A,FALSE,"sıh_iç_ihz";#N/A,#N/A,FALSE,"sıh_iç_tut";#N/A,#N/A,FALSE,"sıh_iç_er";#N/A,#N/A,FALSE,"ihz. icmal";#N/A,#N/A,FALSE,"inş_iç_ihz";#N/A,#N/A,FALSE,"inş_iç_tut";#N/A,#N/A,FALSE,"inş_iç_er";#N/A,#N/A,FALSE,"elk_iç_ihz";#N/A,#N/A,FALSE,"elk_iç_tut";#N/A,#N/A,FALSE,"elk_iç_er"}</definedName>
    <definedName name="wrn.sirnak._.imalat." hidden="1">{#N/A,#N/A,TRUE,"ÞIA1BO";#N/A,#N/A,TRUE,"ÞIA2BO";#N/A,#N/A,TRUE,"ÞIA3BO";#N/A,#N/A,TRUE,"ÞIA4BK";#N/A,#N/A,TRUE,"ÞIB1BK";#N/A,#N/A,TRUE,"ÞIB2BO";#N/A,#N/A,TRUE,"ÞIG1BO";#N/A,#N/A,TRUE,"ÞIG2BO";#N/A,#N/A,TRUE,"ÞIG3BO";#N/A,#N/A,TRUE,"ÞIG4CO";#N/A,#N/A,TRUE,"ÞIG5CO";#N/A,#N/A,TRUE,"ÞIG6CO";#N/A,#N/A,TRUE,"ÞIG7CO";#N/A,#N/A,TRUE,"ÞIG8CK";#N/A,#N/A,TRUE,"ÞIG9CO";#N/A,#N/A,TRUE,"ÞIG10CK";#N/A,#N/A,TRUE,"ÞIH1CO";#N/A,#N/A,TRUE,"ÞIH2CO";#N/A,#N/A,TRUE,"ÞIH3CO";#N/A,#N/A,TRUE,"ÞIH4CO";#N/A,#N/A,TRUE,"ÞIH5CO";#N/A,#N/A,TRUE,"ÞIH7CO";#N/A,#N/A,TRUE,"ÝCMAL";#N/A,#N/A,TRUE,"A Adasý";#N/A,#N/A,TRUE,"B Adasý";#N/A,#N/A,TRUE,"G Adasý";#N/A,#N/A,TRUE,"H Adasý";#N/A,#N/A,TRUE,"J Adasý"}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p2344." hidden="1">{#N/A,#N/A,TRUE,"Смета на пасс. обор. №1"}</definedName>
    <definedName name="wrn.sp2345" hidden="1">{#N/A,#N/A,TRUE,"Смета на пасс. обор. №1"}</definedName>
    <definedName name="wrn.STAFFS." hidden="1">{#N/A,#N/A,FALSE,"TABLE"}</definedName>
    <definedName name="wrn.Stampa._.schede." hidden="1">{"scheda2",#N/A,TRUE,"Swb. ""R""";"scheda3",#N/A,TRUE,"Swb. ""R""";"scheda4",#N/A,TRUE,"Swb. ""R""";"scheda6",#N/A,TRUE,"Swb. ""R"""}</definedName>
    <definedName name="wrn.STAND_ALONE_BOTH." hidden="1">{"FCB_ALL",#N/A,FALSE,"FCB";"GREY_ALL",#N/A,FALSE,"GREY"}</definedName>
    <definedName name="wrn.Standard." hidden="1">{"Financials",#N/A,FALSE,"Financials";"AVP",#N/A,FALSE,"AVP";"DCF",#N/A,FALSE,"DCF";"CSC",#N/A,FALSE,"CSC";"Deal_Comp",#N/A,FALSE,"DealComp"}</definedName>
    <definedName name="wrn.STG._.BLDG._.ENCLOSURE." hidden="1">{"turbine",#N/A,FALSE,"Option"}</definedName>
    <definedName name="wrn.struckgi." hidden="1">{#N/A,#N/A,TRUE,"arnitower";#N/A,#N/A,TRUE,"arnigarage "}</definedName>
    <definedName name="wrn.summary." hidden="1">{#N/A,#N/A,FALSE,"COVER1.XLS ";#N/A,#N/A,FALSE,"RACT1.XLS";#N/A,#N/A,FALSE,"RACT2.XLS";#N/A,#N/A,FALSE,"ECCMP";#N/A,#N/A,FALSE,"WELDER.XLS"}</definedName>
    <definedName name="wrn.summary._1" hidden="1">{#N/A,#N/A,FALSE,"COVER1.XLS ";#N/A,#N/A,FALSE,"RACT1.XLS";#N/A,#N/A,FALSE,"RACT2.XLS";#N/A,#N/A,FALSE,"ECCMP";#N/A,#N/A,FALSE,"WELDER.XLS"}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VERKA.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17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22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345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sverka7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wrn.Table._.A." hidden="1">{"Table A,pg 1",#N/A,FALSE,"Table A-Prov GUR";"Table A,pg 2",#N/A,FALSE,"Table A-Prov GUR"}</definedName>
    <definedName name="wrn.Table._.A1." hidden="1">{"Table A1,pg 1",#N/A,FALSE,"Table A1-Net Prov Res";"Table A1,pg 2",#N/A,FALSE,"Table A1-Net Prov Res"}</definedName>
    <definedName name="wrn.test." hidden="1">{"Valuation_Common",#N/A,FALSE,"Valuation"}</definedName>
    <definedName name="wrn.TOTAL." hidden="1">{"Input",#N/A,TRUE,"Control";"Summary",#N/A,TRUE,"Control";"NCF",#N/A,TRUE,"Control"}</definedName>
    <definedName name="wrn.TOTAL._.MAN._.H.O.." hidden="1">{"MAN H.O.",#N/A,FALSE,"tabella"}</definedName>
    <definedName name="wrn.Trading._.Summary." hidden="1">{#N/A,#N/A,FALSE,"Trading Summary"}</definedName>
    <definedName name="wrn.Tweety." hidden="1">{#N/A,#N/A,FALSE,"A&amp;E";#N/A,#N/A,FALSE,"HighTop";#N/A,#N/A,FALSE,"JG";#N/A,#N/A,FALSE,"RI";#N/A,#N/A,FALSE,"woHT";#N/A,#N/A,FALSE,"woHT&amp;JG"}</definedName>
    <definedName name="wrn.Umsatz." hidden="1">{#N/A,#N/A,FALSE,"Umsatz";#N/A,#N/A,FALSE,"Base V.02";#N/A,#N/A,FALSE,"Charts"}</definedName>
    <definedName name="wrn.Upper._.Case." hidden="1">{"presentation","onepurchase",FALSE,"Inputs and Calculations";"presentation","onepool",FALSE,"Inputs and Calculations";"presentation","twopool",FALSE,"Inputs and Calculations";"presentation","twopurchase",FALSE,"Inputs and Calculations";"presentation","threepurchase",FALSE,"Inputs and Calculations";"presentation","threepool",FALSE,"Inputs and Calculations";"presentation","fourpool",FALSE,"Inputs and Calculations";"presentation","fourpurchase",FALSE,"Inputs and Calculations";"presentation","fivepool",FALSE,"Inputs and Calculations";"presentation","fivepurchase",FALSE,"Inputs and Calculations";"presentation","sixpool",FALSE,"Inputs and Calculations";"presentation","sixpurchase",FALSE,"Inputs and Calculations";"presentation","sevenpool",FALSE,"Inputs and Calculations";"presentation","sevenpurchase",FALSE,"Inputs and Calculations";"presentation","eightpool",FALSE,"Inputs and Calculations";"presentation","eightpurchase",FALSE,"Inputs and Calculations";"presentation","ninepool",FALSE,"Inputs and Calculations";"presentation","ninepurchase",FALSE,"Inputs and Calculations";"presentation","tenpool",FALSE,"Inputs and Calculations";"presentation","tenpurchase",FALSE,"Inputs and Calculations"}</definedName>
    <definedName name="wrn.valderrama." hidden="1">{"valderrama1",#N/A,FALSE,"Pro Forma";"valderrama",#N/A,FALSE,"Pro Forma"}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Committee." hidden="1">{#N/A,#N/A,TRUE,"Cover";#N/A,#N/A,TRUE,"Macro Assumptions";#N/A,#N/A,TRUE,"Tariffs DTe";#N/A,#N/A,TRUE,"2000 Revenues";#N/A,#N/A,TRUE,"Initial RAB";#N/A,#N/A,TRUE,"inflated RAB";#N/A,#N/A,TRUE,"Budget TenneT";#N/A,#N/A,TRUE,"Revenues";#N/A,#N/A,TRUE,"Operating Expenses";#N/A,#N/A,TRUE,"Energy &amp; Power";#N/A,#N/A,TRUE,"Grid Costs";#N/A,#N/A,TRUE,"TPA";#N/A,#N/A,TRUE,"Maintenance";#N/A,#N/A,TRUE,"Personnel";#N/A,#N/A,TRUE,"General";#N/A,#N/A,TRUE,"Depr";#N/A,#N/A,TRUE,"P&amp;L";#N/A,#N/A,TRUE,"Fixed Assets_Sum";#N/A,#N/A,TRUE,"Assumptions";#N/A,#N/A,TRUE,"FA";#N/A,#N/A,TRUE,"CapEx";#N/A,#N/A,TRUE,"Work in Progress";#N/A,#N/A,TRUE,"Working Capital";#N/A,#N/A,TRUE,"Cash";#N/A,#N/A,TRUE,"Equity";#N/A,#N/A,TRUE,"Provisions";#N/A,#N/A,TRUE,"Debt";#N/A,#N/A,TRUE,"BS";#N/A,#N/A,TRUE,"CF";#N/A,#N/A,TRUE,"Lines";#N/A,#N/A,TRUE,"Stations";#N/A,#N/A,TRUE,"Cap. Expenses";#N/A,#N/A,TRUE,"Land";#N/A,#N/A,TRUE,"Cen Proces Sys";#N/A,#N/A,TRUE,"IT";#N/A,#N/A,TRUE,"telecom";#N/A,#N/A,TRUE,"Other";#N/A,#N/A,TRUE,"WACC_DTe_pre";#N/A,#N/A,TRUE,"WACC_DTe_post";#N/A,#N/A,TRUE,"Wacc";#N/A,#N/A,TRUE,"DCF EBITDA Multiple";#N/A,#N/A,TRUE,"DCF Perpetual Growth";#N/A,#N/A,TRUE,"RAB (DTe)";#N/A,#N/A,TRUE,"P&amp;L (2)";#N/A,#N/A,TRUE,"TComps"}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Warrington._.Widnes._.QS._.Costs." hidden="1">{#N/A,#N/A,TRUE,"Cover";#N/A,#N/A,TRUE,"Conts";#N/A,#N/A,TRUE,"VOS";#N/A,#N/A,TRUE,"Warrington";#N/A,#N/A,TRUE,"Widnes"}</definedName>
    <definedName name="wrn.Water." hidden="1">{#N/A,#N/A,FALSE,"Water";#N/A,#N/A,FALSE,"Ballygowan";#N/A,#N/A,FALSE,"Volvic"}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USE._.CT." hidden="1">{"WESTINGHOUSE",#N/A,FALSE,"Option"}</definedName>
    <definedName name="wrn.WineSpirits." hidden="1">{#N/A,#N/A,FALSE,"W&amp;Spirits";#N/A,#N/A,FALSE,"Grants";#N/A,#N/A,FALSE,"CCB"}</definedName>
    <definedName name="wrn.WPE1." hidden="1">{"WPE1",#N/A,FALSE,"ELECTRICAL"}</definedName>
    <definedName name="wrn.WPE1._.INST." hidden="1">{"WPE1 INST",#N/A,FALSE,"ELECTRICAL"}</definedName>
    <definedName name="wrn.WPE1._.INST._1" hidden="1">{"WPE1 INST",#N/A,FALSE,"ELECTRICAL"}</definedName>
    <definedName name="wrn.WPE1._1" hidden="1">{"WPE1",#N/A,FALSE,"ELECTRICAL"}</definedName>
    <definedName name="wrn.WPE2." hidden="1">{"WPE2",#N/A,FALSE,"ELECTRICAL"}</definedName>
    <definedName name="wrn.WPE2._.INST." hidden="1">{"WPE2 INST",#N/A,FALSE,"ELECTRICAL"}</definedName>
    <definedName name="wrn.WPE2._.INST._1" hidden="1">{"WPE2 INST",#N/A,FALSE,"ELECTRICAL"}</definedName>
    <definedName name="wrn.WPE2._1" hidden="1">{"WPE2",#N/A,FALSE,"ELECTRICAL"}</definedName>
    <definedName name="wrn.WPE3." hidden="1">{"WPE3",#N/A,FALSE,"ELECTRICAL"}</definedName>
    <definedName name="wrn.WPE3._1" hidden="1">{"WPE3",#N/A,FALSE,"ELECTRICAL"}</definedName>
    <definedName name="wrn.WPE3_INST." hidden="1">{"WPE3_INST",#N/A,FALSE,"INST"}</definedName>
    <definedName name="wrn.WPE3_INST._1" hidden="1">{"WPE3_INST",#N/A,FALSE,"INST"}</definedName>
    <definedName name="wrn.WPE3_INST_SUMMARY." hidden="1">{"WPE3_INST_SUMMARY",#N/A,FALSE,"SUMMARY-INSTS"}</definedName>
    <definedName name="wrn.WPE3_INST_SUMMARY._1" hidden="1">{"WPE3_INST_SUMMARY",#N/A,FALSE,"SUMMARY-INSTS"}</definedName>
    <definedName name="wrn.WWY." hidden="1">{#N/A,#N/A,FALSE,"WWY"}</definedName>
    <definedName name="wrn.xrates." hidden="1">{#N/A,#N/A,FALSE,"1996";#N/A,#N/A,FALSE,"1995";#N/A,#N/A,FALSE,"1994"}</definedName>
    <definedName name="wrn.Баланс." hidden="1">{#N/A,#N/A,FALSE,"БАЛАНС"}</definedName>
    <definedName name="wrn.Баланс._1" hidden="1">{#N/A,#N/A,FALSE,"БАЛАНС"}</definedName>
    <definedName name="wrn.Виробництво._.11._.міс." hidden="1">{#N/A,#N/A,TRUE,"попередні"}</definedName>
    <definedName name="wrn.Выручка." hidden="1">{"Прибыль СаМеКо",#N/A,FALSE,"Итог СаМеКо"}</definedName>
    <definedName name="wrn.закрыт." hidden="1">{#N/A,#N/A,FALSE,"Закрытые кредиты"}</definedName>
    <definedName name="wrn.Запуски._.за._.февраль._.1995._.года." hidden="1">{#N/A,#N/A,FALSE,"ZAP_FEB.XLS "}</definedName>
    <definedName name="wrn.Калькуляция._.себестоимости." hidden="1">{#N/A,#N/A,FALSE,"Себестоимсть-97"}</definedName>
    <definedName name="wrn.ку." hidden="1">{#N/A,#N/A,TRUE,"Лист2"}</definedName>
    <definedName name="wrn.Макет._.индивидуакльного._.строительства." hidden="1">{#N/A,#N/A,TRUE,"Содержание";#N/A,#N/A,TRUE,"ПРоектные данные";#N/A,#N/A,TRUE,"Интервалы продуктивных пластов"}</definedName>
    <definedName name="wrn.ОК._.00002.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wrn.ОТЧЕТ._.ПО._.МАРКАМ._.ЗА._.1._.КВАРТАЛ._.1998._.ГОДА." hidden="1">{#N/A,#N/A,FALSE,"1 квартал"}</definedName>
    <definedName name="wrn.пар." hidden="1">{#N/A,#N/A,FALSE,"передел"}</definedName>
    <definedName name="wrn.Печать._.всех._.форм." hidden="1">{"осн2",#N/A,FALSE,"Оснрасчет";"осн3",#N/A,FALSE,"Оснрасчет";#N/A,#N/A,FALSE,"кальк эн";#N/A,#N/A,FALSE,"накл ц";#N/A,#N/A,FALSE,"накл котельной";#N/A,#N/A,FALSE,"НАКЛ ЭНЕРГ";#N/A,#N/A,FALSE,"НАКЛ ВОДЫ"}</definedName>
    <definedName name="wrn.План._.продаж." hidden="1">{"План продаж",#N/A,FALSE,"товар"}</definedName>
    <definedName name="wrn.План._.товар." hidden="1">{"План товар",#N/A,FALSE,"товар"}</definedName>
    <definedName name="wrn.Полный._.отчет._.по._.себестоимости.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wrn.Потери.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wrn.Прибыль._.дерев." hidden="1">{"Прибыль дерев",#N/A,FALSE,"Дерев"}</definedName>
    <definedName name="wrn.Прибыль._.ЗАП." hidden="1">{"Прибыль ЗАП",#N/A,FALSE,"ЗАП"}</definedName>
    <definedName name="wrn.Прибыль._.инстр." hidden="1">{"Прибыль инстр",#N/A,FALSE,"Инстр"}</definedName>
    <definedName name="wrn.Прибыль._.литейн." hidden="1">{"Прибыль",#N/A,FALSE,"Литейн"}</definedName>
    <definedName name="wrn.Прибыль._.механ." hidden="1">{"Прибыль механ",#N/A,FALSE,"Механ"}</definedName>
    <definedName name="wrn.Прибыль._.прессов." hidden="1">{"Прибыль пресс",#N/A,FALSE,"Прессов"}</definedName>
    <definedName name="wrn.Прибыль._.прокатн." hidden="1">{"Прибыль прокатн",#N/A,FALSE,"Прокатн"}</definedName>
    <definedName name="wrn.Прибыль._.СаМеКо." hidden="1">{"Прибыль СаМеКо",#N/A,FALSE,"Итог СаМеКо"}</definedName>
    <definedName name="wrn.Прибыль._.СМЗ." hidden="1">{"Прибыль СМЗ",#N/A,FALSE,"СМЗ"}</definedName>
    <definedName name="wrn.Прибыль._.энерг." hidden="1">{"Приибыль энерг",#N/A,FALSE,"Энерг"}</definedName>
    <definedName name="wrn.Свод._.затрат._.на._.производство." hidden="1">{#N/A,#N/A,FALSE,"СВОД"}</definedName>
    <definedName name="wrn.смета." hidden="1">{#N/A,#N/A,FALSE,"общепр.расх"}</definedName>
    <definedName name="wrn.Смета_Ц1." hidden="1">{"Смета_Ц1",#N/A,FALSE,"Сметы_затрат_по_цехам"}</definedName>
    <definedName name="wrn.Сметы._.затрат._.по._.цехам.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wrn.справка._.для._.Отдела._.МС." hidden="1">{#VALUE!,#N/A,TRUE,0}</definedName>
    <definedName name="wrn.Сравнение._.с._.отраслями." hidden="1">{#N/A,#N/A,TRUE,"Лист1";#N/A,#N/A,TRUE,"Лист2";#N/A,#N/A,TRUE,"Лист3"}</definedName>
    <definedName name="wrn.Товарн.выраб._.А4." hidden="1">{"Товар.выработка без продаж",#N/A,FALSE,"товар"}</definedName>
    <definedName name="wrn.교대." hidden="1">{#N/A,#N/A,FALSE,"type1";#N/A,#N/A,FALSE,"지지력";#N/A,#N/A,FALSE,"PILE계산";#N/A,#N/A,FALSE,"PILE ";#N/A,#N/A,FALSE,"철근량";#N/A,#N/A,FALSE,"균열검토";#N/A,#N/A,FALSE,"날개벽";#N/A,#N/A,FALSE,"주철근조립도";#N/A,#N/A,FALSE,"교좌"}</definedName>
    <definedName name="wrn.부서회의." hidden="1">{"LKD",#N/A,FALSE,"표지"}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hidden="1">{#N/A,#N/A,TRUE,"토적및재료집계";#N/A,#N/A,TRUE,"토적및재료집계";#N/A,#N/A,TRUE,"단위량"}</definedName>
    <definedName name="wrn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0" hidden="1">{#N/A,#N/A,FALSE,"COVER1.XLS ";#N/A,#N/A,FALSE,"RACT1.XLS";#N/A,#N/A,FALSE,"RACT2.XLS";#N/A,#N/A,FALSE,"ECCMP";#N/A,#N/A,FALSE,"WELDER.XLS"}</definedName>
    <definedName name="WRN0_1" hidden="1">{#N/A,#N/A,FALSE,"COVER1.XLS ";#N/A,#N/A,FALSE,"RACT1.XLS";#N/A,#N/A,FALSE,"RACT2.XLS";#N/A,#N/A,FALSE,"ECCMP";#N/A,#N/A,FALSE,"WELDER.XLS"}</definedName>
    <definedName name="wrn1.ratio." hidden="1">{#N/A,#N/A,FALSE,"JACKETS (1100 t) (1)"}</definedName>
    <definedName name="ws" hidden="1">{#N/A,#N/A,FALSE,"Aging Summary";#N/A,#N/A,FALSE,"Ratio Analysis";#N/A,#N/A,FALSE,"Test 120 Day Accts";#N/A,#N/A,FALSE,"Tickmarks"}</definedName>
    <definedName name="wsw">#REF!</definedName>
    <definedName name="WT">#REF!</definedName>
    <definedName name="WT_FAB">#REF!</definedName>
    <definedName name="wtre" hidden="1">{#N/A,#N/A,FALSE,"Aging Summary";#N/A,#N/A,FALSE,"Ratio Analysis";#N/A,#N/A,FALSE,"Test 120 Day Accts";#N/A,#N/A,FALSE,"Tickmarks"}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ETT.._.COSTI." hidden="1">{TRUE,TRUE,-0.8,-17,618,364.2,FALSE,TRUE,TRUE,TRUE,0,1,3,2,3,2,1,4,TRUE,TRUE,3,TRUE,1,TRUE,100,"Swvu.DETT.._.COSTI.","ACwvu.DETT.._.COSTI.",#N/A,FALSE,FALSE,0.78740157480315,0.78740157480315,1.39,0.708661417322835,2,"&amp;C&amp;""Book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RIEPIL.." hidden="1">{TRUE,TRUE,-0.8,-17,618,364.2,FALSE,TRUE,TRUE,TRUE,0,1,14,2,3,2,1,4,TRUE,TRUE,3,TRUE,1,TRUE,100,"Swvu.RIEPIL..","ACwvu.RIEPIL..",#N/A,FALSE,FALSE,0.78740157480315,0.78740157480315,1.39,0.708661417322835,2,"&amp;C&amp;""Book Antiqua,Grassetto""C A R P E N T E R I A&amp;R&amp;""Book Antiqua,Grassetto""&amp;8&amp;D","",TRUE,FALSE,FALSE,TRUE,1,100,#N/A,#N/A,"=R2C2:R20C9,R2C11:R9C21",FALSE,#N/A,#N/A,FALSE,FALSE,TRUE,9,65532,65532,FALSE,FALSE,TRUE,TRUE,TRUE}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W">#REF!</definedName>
    <definedName name="ww_1" hidden="1">{#N/A,#N/A,FALSE,"CCTV"}</definedName>
    <definedName name="www" hidden="1">{"NWN_Q1810",#N/A,FALSE,"Q1810_1.V";"NWN_Q1412",#N/A,FALSE,"Q1412_1"}</definedName>
    <definedName name="www_1" hidden="1">{"NWN_Q1810",#N/A,FALSE,"Q1810_1.V";"NWN_Q1412",#N/A,FALSE,"Q1412_1"}</definedName>
    <definedName name="www_4" hidden="1">#REF!</definedName>
    <definedName name="WWWW" hidden="1">{#N/A,#N/A,FALSE,"COVER.XLS";#N/A,#N/A,FALSE,"RACT1.XLS";#N/A,#N/A,FALSE,"RACT2.XLS";#N/A,#N/A,FALSE,"ECCMP";#N/A,#N/A,FALSE,"WELDER.XLS"}</definedName>
    <definedName name="WWWW_1" hidden="1">{#N/A,#N/A,FALSE,"COVER.XLS";#N/A,#N/A,FALSE,"RACT1.XLS";#N/A,#N/A,FALSE,"RACT2.XLS";#N/A,#N/A,FALSE,"ECCMP";#N/A,#N/A,FALSE,"WELDER.XLS"}</definedName>
    <definedName name="wwwwww" hidden="1">{#N/A,#N/A,FALSE,"HO Sum";#N/A,#N/A,FALSE,"HO Rates";#N/A,#N/A,FALSE,"Co Sum";#N/A,#N/A,FALSE,"Clients Office";#N/A,#N/A,FALSE,"Field Sum";#N/A,#N/A,FALSE,"Field Rates"}</definedName>
    <definedName name="WX" hidden="1">{#N/A,#N/A,TRUE,"ÝCMAL";#N/A,#N/A,TRUE,"12221CO";#N/A,#N/A,TRUE,"12222CO";#N/A,#N/A,TRUE,"12223CK";#N/A,#N/A,TRUE,"12224CO";#N/A,#N/A,TRUE,"12225CO";#N/A,#N/A,TRUE,"12231BO";#N/A,#N/A,TRUE,"12232BO";#N/A,#N/A,TRUE,"12233BO";#N/A,#N/A,TRUE,"12234BO";#N/A,#N/A,TRUE,"12235BO";#N/A,#N/A,TRUE,"12236BO";#N/A,#N/A,TRUE,"12237BK";#N/A,#N/A,TRUE,"12238CK";#N/A,#N/A,TRUE,"12239CO";#N/A,#N/A,TRUE,"12241BO";#N/A,#N/A,TRUE,"12242BK";#N/A,#N/A,TRUE,"12243BO";#N/A,#N/A,TRUE,"12244BO";#N/A,#N/A,TRUE,"12245BO";#N/A,#N/A,TRUE,"12246CK";#N/A,#N/A,TRUE,"12247CO";#N/A,#N/A,TRUE,"12248CO";#N/A,#N/A,TRUE,"12251BO";#N/A,#N/A,TRUE,"12252BO";#N/A,#N/A,TRUE,"12253BO";#N/A,#N/A,TRUE,"12254BO";#N/A,#N/A,TRUE,"12255CK";#N/A,#N/A,TRUE,"12256CO";#N/A,#N/A,TRUE,"12257CO";#N/A,#N/A,TRUE,"12261BO";#N/A,#N/A,TRUE,"12262BO";#N/A,#N/A,TRUE,"12263BO";#N/A,#N/A,TRUE,"12264CK";#N/A,#N/A,TRUE,"12265CO";#N/A,#N/A,TRUE,"12266CO";#N/A,#N/A,TRUE,"12271CO";#N/A,#N/A,TRUE,"12272CK";#N/A,#N/A,TRUE,"12273BO";#N/A,#N/A,TRUE,"12274BO";#N/A,#N/A,TRUE,"12275BO";#N/A,#N/A,TRUE,"12276CO";#N/A,#N/A,TRUE,"12277CO";#N/A,#N/A,TRUE,"12321CO";#N/A,#N/A,TRUE,"12322CK";#N/A,#N/A,TRUE,"12323CO";#N/A,#N/A,TRUE,"12324CK";#N/A,#N/A,TRUE,"12325CO";#N/A,#N/A,TRUE,"12326CO";#N/A,#N/A,TRUE,"12327CO";#N/A,#N/A,TRUE,"12328CO";#N/A,#N/A,TRUE,"12331CO";#N/A,#N/A,TRUE,"12332CO";#N/A,#N/A,TRUE,"12333CO";#N/A,#N/A,TRUE,"12334CK";#N/A,#N/A,TRUE,"12335CO";#N/A,#N/A,TRUE,"12336CO"}</definedName>
    <definedName name="WZ" hidden="1">{#N/A,#N/A,FALSE,"CCTV"}</definedName>
    <definedName name="WZ_1" hidden="1">{#N/A,#N/A,FALSE,"CCTV"}</definedName>
    <definedName name="X">#REF!</definedName>
    <definedName name="X_RAY">#REF!</definedName>
    <definedName name="xav" hidden="1">{"INST_NASR",#N/A,FALSE,"INST"}</definedName>
    <definedName name="xav_1" hidden="1">{"INST_NASR",#N/A,FALSE,"INST"}</definedName>
    <definedName name="XC" hidden="1">{#N/A,#N/A,FALSE,"CCTV"}</definedName>
    <definedName name="XC_1" hidden="1">{#N/A,#N/A,FALSE,"CCTV"}</definedName>
    <definedName name="xcgvasezr" hidden="1">{"'Sheet1'!$A$1:$L$49"}</definedName>
    <definedName name="XCZC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CZCZ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xd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h" hidden="1">{"'장비'!$A$3:$M$12"}</definedName>
    <definedName name="XLR" hidden="1">#REF!</definedName>
    <definedName name="XLR_ERRNAMESTR" hidden="1">#REF!</definedName>
    <definedName name="XLR_VERSION" hidden="1">#REF!</definedName>
    <definedName name="XLRPARAMS_FinishDate" hidden="1">#REF!</definedName>
    <definedName name="XLRPARAMS_FirmName" hidden="1">#REF!</definedName>
    <definedName name="XLRPARAMS_ParamTitle" hidden="1">#REF!</definedName>
    <definedName name="XLRPARAMS_ReportName" hidden="1">#REF!</definedName>
    <definedName name="XLRPARAMS_StartDate" hidden="1">#REF!</definedName>
    <definedName name="xls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Q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_COLUMN_5" hidden="1">#REF!</definedName>
    <definedName name="XRefActiveRow" hidden="1">#REF!</definedName>
    <definedName name="XRefColumnsCount" hidden="1">1</definedName>
    <definedName name="XRefCopy1" hidden="1">#REF!</definedName>
    <definedName name="XRefCopy1Row" hidden="1">#REF!</definedName>
    <definedName name="XRefCopy2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7" hidden="1">#REF!</definedName>
    <definedName name="XRefCopy8" hidden="1">#REF!</definedName>
    <definedName name="XRefCopy9" hidden="1">#REF!</definedName>
    <definedName name="XRefCopy9Row" hidden="1">#REF!</definedName>
    <definedName name="XRefCopyRangeCount" hidden="1">3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RangeCount" hidden="1">4</definedName>
    <definedName name="xsds" hidden="1">{"Summary",#N/A,FALSE,"Valuation Summary";"Financial Statements",#N/A,FALSE,"Results";"FCF",#N/A,FALSE,"Results"}</definedName>
    <definedName name="XT" hidden="1">{#N/A,#N/A,FALSE,"ihz. icmal";#N/A,#N/A,FALSE,"inş_iç_ihz";#N/A,#N/A,FALSE,"inş_iç_tut";#N/A,#N/A,FALSE,"inş_iç_er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;#N/A,#N/A,FALSE,"elk_iç_ihz";#N/A,#N/A,FALSE,"elk_iç_tut";#N/A,#N/A,FALSE,"elk_iç_er"}</definedName>
    <definedName name="XX" hidden="1">#REF!</definedName>
    <definedName name="xxx" hidden="1">#REF!</definedName>
    <definedName name="xxxaa" hidden="1">{"Inflation-BaseYear",#N/A,FALSE,"Inputs"}</definedName>
    <definedName name="xxxx">#REF!</definedName>
    <definedName name="XXXXX" hidden="1">5000</definedName>
    <definedName name="xxxxxxx" hidden="1">{#N/A,#N/A,FALSE,"Sum6 (1)"}</definedName>
    <definedName name="XY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Y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5k4664ke6" hidden="1">#REF!</definedName>
    <definedName name="y6gb5fr52eddf" hidden="1">#REF!</definedName>
    <definedName name="yapiimar" hidden="1">{#N/A,#N/A,FALSE,"ihz. icmal";#N/A,#N/A,FALSE,"avans";#N/A,#N/A,FALSE,"mal_FF_icm";#N/A,#N/A,FALSE,"fat_ihz";#N/A,#N/A,FALSE,"söz_fiy_fark";#N/A,#N/A,FALSE,"kap2"}</definedName>
    <definedName name="yas" hidden="1">#REF!</definedName>
    <definedName name="yasin" hidden="1">#REF!</definedName>
    <definedName name="year">#REF!</definedName>
    <definedName name="YearStart1">#REF!</definedName>
    <definedName name="YearStart2">#REF!</definedName>
    <definedName name="YearStart3">#REF!</definedName>
    <definedName name="YearStart4">#REF!</definedName>
    <definedName name="YearStart5">#REF!</definedName>
    <definedName name="YearStart6">#REF!</definedName>
    <definedName name="YearStart7">#REF!</definedName>
    <definedName name="YEN">#REF!</definedName>
    <definedName name="yeni2" hidden="1">{#N/A,#N/A,FALSE,"Aging Summary";#N/A,#N/A,FALSE,"Ratio Analysis";#N/A,#N/A,FALSE,"Test 120 Day Accts";#N/A,#N/A,FALSE,"Tickmarks"}</definedName>
    <definedName name="YFNFIF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YHN" hidden="1">#REF!,#REF!,#REF!</definedName>
    <definedName name="YIELD">#REF!</definedName>
    <definedName name="yield_exp">#REF!</definedName>
    <definedName name="YIELD2">#REF!</definedName>
    <definedName name="yjdjt" hidden="1">#REF!</definedName>
    <definedName name="yjyjej" hidden="1">{0,0}</definedName>
    <definedName name="yjyjtj" hidden="1">{0,0}</definedName>
    <definedName name="ynkim" hidden="1">{#N/A,#N/A,TRUE,"Basic";#N/A,#N/A,TRUE,"EXT-TABLE";#N/A,#N/A,TRUE,"STEEL";#N/A,#N/A,TRUE,"INT-Table";#N/A,#N/A,TRUE,"STEEL";#N/A,#N/A,TRUE,"Door"}</definedName>
    <definedName name="ynkim_1" hidden="1">{#N/A,#N/A,TRUE,"Basic";#N/A,#N/A,TRUE,"EXT-TABLE";#N/A,#N/A,TRUE,"STEEL";#N/A,#N/A,TRUE,"INT-Table";#N/A,#N/A,TRUE,"STEEL";#N/A,#N/A,TRUE,"Door"}</definedName>
    <definedName name="yrdtytyt" hidden="1">{#N/A,#N/A,FALSE,"CCTV"}</definedName>
    <definedName name="YT" hidden="1">{#N/A,#N/A,FALSE,"ZAP_FEB.XLS "}</definedName>
    <definedName name="YU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yui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yyy" hidden="1">#REF!</definedName>
    <definedName name="yyyjjjj" hidden="1">{#N/A,#N/A,FALSE,"Себестоимсть-97"}</definedName>
    <definedName name="z" hidden="1">{"IASTrail",#N/A,FALSE,"IAS"}</definedName>
    <definedName name="Z_01B9E34F_80F0_46B9_B861_74B2A43D41B8_.wvu.FilterData" hidden="1">#REF!</definedName>
    <definedName name="Z_01C47C6E_73EE_40C4_8D09_6491185BFAFB_.wvu.FilterData" hidden="1">#REF!</definedName>
    <definedName name="Z_040DD8BD_D054_43F6_9140_DA543CBAAE85_.wvu.FilterData" hidden="1">#REF!</definedName>
    <definedName name="Z_04F359AE_C2F8_4E6E_9445_639809E70C2B_.wvu.FilterData" hidden="1">#REF!</definedName>
    <definedName name="Z_0547618D_99D3_445E_BB47_C926B9693DB3_.wvu.FilterData" hidden="1">#REF!</definedName>
    <definedName name="Z_0595F038_10C1_11D1_BBF1_0020AF29375F_.wvu.Cols" hidden="1">#REF!,#REF!</definedName>
    <definedName name="Z_0595F03A_10C1_11D1_BBF1_0020AF29375F_.wvu.Cols" hidden="1">#REF!</definedName>
    <definedName name="Z_0595F03D_10C1_11D1_BBF1_0020AF29375F_.wvu.Cols" hidden="1">#REF!</definedName>
    <definedName name="Z_0595F03F_10C1_11D1_BBF1_0020AF29375F_.wvu.Cols" hidden="1">#REF!</definedName>
    <definedName name="Z_0595F047_10C1_11D1_BBF1_0020AF29375F_.wvu.Cols" hidden="1">#REF!,#REF!</definedName>
    <definedName name="Z_0595F048_10C1_11D1_BBF1_0020AF29375F_.wvu.Cols" hidden="1">#REF!,#REF!</definedName>
    <definedName name="Z_0595F050_10C1_11D1_BBF1_0020AF29375F_.wvu.Cols" hidden="1">#REF!,#REF!</definedName>
    <definedName name="Z_0595F052_10C1_11D1_BBF1_0020AF29375F_.wvu.Cols" hidden="1">#REF!</definedName>
    <definedName name="Z_0595F055_10C1_11D1_BBF1_0020AF29375F_.wvu.Cols" hidden="1">#REF!</definedName>
    <definedName name="Z_0595F057_10C1_11D1_BBF1_0020AF29375F_.wvu.Cols" hidden="1">#REF!</definedName>
    <definedName name="Z_0595F05F_10C1_11D1_BBF1_0020AF29375F_.wvu.Cols" hidden="1">#REF!,#REF!</definedName>
    <definedName name="Z_0595F060_10C1_11D1_BBF1_0020AF29375F_.wvu.Cols" hidden="1">#REF!,#REF!</definedName>
    <definedName name="Z_06CB3EB2_D4A3_4793_B407_9559F20FAAAE_.wvu.FilterData" hidden="1">#REF!</definedName>
    <definedName name="Z_06F21C74_6BE8_4794_81F1_36C8305A2961_.wvu.FilterData" hidden="1">#REF!</definedName>
    <definedName name="Z_07830EC9_AADE_45ED_8B8D_20C0CE7C8B70_.wvu.FilterData" hidden="1">#REF!</definedName>
    <definedName name="Z_07868AE6_27AA_4310_BAAC_8AC06EAC052D_.wvu.FilterData" hidden="1">#REF!</definedName>
    <definedName name="Z_07BE7D07_EAEC_4901_80DE_3595577F308A_.wvu.FilterData" hidden="1">#REF!</definedName>
    <definedName name="Z_08020EC2_D5A6_490B_9239_7BF78C164E2C_.wvu.FilterData" hidden="1">#REF!</definedName>
    <definedName name="Z_09462F94_2769_47EB_B3C3_3E74F510592A_.wvu.FilterData" hidden="1">#REF!</definedName>
    <definedName name="Z_09A675D7_23C2_4A02_B4C1_56B02CE79286_.wvu.PrintArea" hidden="1">#REF!</definedName>
    <definedName name="Z_09F2EF98_EB70_4D7D_B098_01C0ABD72D72_.wvu.FilterData" hidden="1">#REF!</definedName>
    <definedName name="Z_0AB68407_2AB6_4CA7_B142_4E81F8B0217A_.wvu.FilterData" hidden="1">#REF!</definedName>
    <definedName name="Z_0AB68407_2AB6_4CA7_B142_4E81F8B0217A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0B85430C_45DD_4286_ABA4_7FF797A27DCE_.wvu.FilterData" hidden="1">#REF!</definedName>
    <definedName name="Z_0B9BA97A_1378_477A_9505_9EC28EDDEBC6_.wvu.FilterData" hidden="1">#REF!</definedName>
    <definedName name="Z_0D5F6C64_80DC_4C9D_9322_FB8825A62010_.wvu.FilterData" hidden="1">#REF!</definedName>
    <definedName name="Z_0DD4EB58_0647_11D5_A6F7_00508B654A95_.wvu.Cols" hidden="1">#REF!,#REF!,#REF!,#REF!,#REF!</definedName>
    <definedName name="Z_0ED647E8_4EEC_4A0D_9BC3_E1B24058B5A7_.wvu.FilterData" hidden="1">#REF!</definedName>
    <definedName name="Z_0F190763_A4C8_11D4_8AC1_00600813EC42_.wvu.PrintArea" hidden="1">#REF!</definedName>
    <definedName name="Z_0FEE6DF0_B6B1_409E_9012_941C2AD3D757_.wvu.FilterData" hidden="1">#REF!</definedName>
    <definedName name="Z_10435A81_C305_11D5_A6F8_009027BEE0E0_.wvu.Cols" hidden="1">#REF!,#REF!,#REF!</definedName>
    <definedName name="Z_10435A81_C305_11D5_A6F8_009027BEE0E0_.wvu.FilterData" hidden="1">#REF!</definedName>
    <definedName name="Z_10435A81_C305_11D5_A6F8_009027BEE0E0_.wvu.PrintArea" hidden="1">#REF!</definedName>
    <definedName name="Z_10435A81_C305_11D5_A6F8_009027BEE0E0_.wvu.PrintTitles" hidden="1">#REF!</definedName>
    <definedName name="Z_10435A81_C305_11D5_A6F8_009027BEE0E0_.wvu.Rows" hidden="1">#REF!,#REF!</definedName>
    <definedName name="Z_123868D4_54BE_4BF2_BFE5_762F87CCFE6E_.wvu.FilterData" hidden="1">#REF!</definedName>
    <definedName name="Z_149A251D_CD71_4A1A_A398_F9876C4B21F8_.wvu.FilterData" hidden="1">#REF!</definedName>
    <definedName name="Z_15D77F25_0280_4EEF_B787_A334AC98CE0A_.wvu.FilterData" hidden="1">#REF!</definedName>
    <definedName name="Z_15E363F5_6D89_4329_B525_F25B1BD44BFF_.wvu.FilterData" hidden="1">#REF!</definedName>
    <definedName name="Z_1615E3F4_A531_4807_BF07_3B2E69772A77_.wvu.FilterData" hidden="1">#REF!</definedName>
    <definedName name="Z_17E084A6_F624_4F2A_A79B_8563FAB4AE96_.wvu.FilterData" hidden="1">#REF!</definedName>
    <definedName name="Z_184726B2_EF0C_425E_B815_4EC258A6C9DB_.wvu.FilterData" hidden="1">#REF!</definedName>
    <definedName name="Z_18A8D7D5_DF9E_4A4D_8EFF_A9EE9DF60A27_.wvu.FilterData" hidden="1">#REF!</definedName>
    <definedName name="Z_195152F2_E1B3_11D0_BBF1_0020AF29375F_.wvu.Cols" hidden="1">#REF!,#REF!</definedName>
    <definedName name="Z_195152F4_E1B3_11D0_BBF1_0020AF29375F_.wvu.Cols" hidden="1">#REF!</definedName>
    <definedName name="Z_195152F7_E1B3_11D0_BBF1_0020AF29375F_.wvu.Cols" hidden="1">#REF!</definedName>
    <definedName name="Z_195152F9_E1B3_11D0_BBF1_0020AF29375F_.wvu.Cols" hidden="1">#REF!</definedName>
    <definedName name="Z_19515301_E1B3_11D0_BBF1_0020AF29375F_.wvu.Cols" hidden="1">#REF!,#REF!</definedName>
    <definedName name="Z_19515302_E1B3_11D0_BBF1_0020AF29375F_.wvu.Cols" hidden="1">#REF!,#REF!</definedName>
    <definedName name="Z_1951530A_E1B3_11D0_BBF1_0020AF29375F_.wvu.Cols" hidden="1">#REF!,#REF!</definedName>
    <definedName name="Z_1951530C_E1B3_11D0_BBF1_0020AF29375F_.wvu.Cols" hidden="1">#REF!</definedName>
    <definedName name="Z_1951530F_E1B3_11D0_BBF1_0020AF29375F_.wvu.Cols" hidden="1">#REF!</definedName>
    <definedName name="Z_19515311_E1B3_11D0_BBF1_0020AF29375F_.wvu.Cols" hidden="1">#REF!</definedName>
    <definedName name="Z_19515319_E1B3_11D0_BBF1_0020AF29375F_.wvu.Cols" hidden="1">#REF!,#REF!</definedName>
    <definedName name="Z_1951531A_E1B3_11D0_BBF1_0020AF29375F_.wvu.Cols" hidden="1">#REF!,#REF!</definedName>
    <definedName name="Z_19A53A0C_7ADB_4052_B347_0E4C8E111035_.wvu.FilterData" hidden="1">#REF!</definedName>
    <definedName name="Z_1C3AD0CD_BF0C_4C4E_9071_158A2F5215E2_.wvu.Rows" hidden="1">#REF!,#REF!,#REF!</definedName>
    <definedName name="Z_1CE615D2_413C_43CB_8F33_9248DBCBF858_.wvu.FilterData" hidden="1">#REF!</definedName>
    <definedName name="Z_1DB39D48_C794_493B" hidden="1">#REF!</definedName>
    <definedName name="Z_1DB39D48_C794_493B_AA3A_1E828B55A91A_.wvu.FilterData" hidden="1">#REF!</definedName>
    <definedName name="Z_1DE18FEB_0768_44AE_B506_5F73E524ACCA_.wvu.FilterData" hidden="1">#REF!</definedName>
    <definedName name="Z_1E6714A0_D75D_11D5_99D9_00C0262DE032_.wvu.Cols" hidden="1">#REF!</definedName>
    <definedName name="Z_1E6A9DD8_5B95_4131_B289_F29A975A49A6_.wvu.FilterData" hidden="1">#REF!</definedName>
    <definedName name="Z_1E6A9DD8_5B95_4131_B289_F29A975A49A6_.wvu.PrintTitles" hidden="1">#REF!</definedName>
    <definedName name="Z_1E798AD5_C1E3_4A7A_A5A8_2BD7D32A8590_.wvu.FilterData" hidden="1">#REF!</definedName>
    <definedName name="Z_1F446AC4_5836_4260_A19C_4DA439F4B49D_.wvu.FilterData" hidden="1">#REF!</definedName>
    <definedName name="Z_1F8A7AB2_1A58_4E9F_9E30_61282D0795C4_.wvu.FilterData" hidden="1">#REF!</definedName>
    <definedName name="Z_1F972D8D_5BFF_4180_87FB_A67EE7518876_.wvu.FilterData" hidden="1">#REF!</definedName>
    <definedName name="Z_2">#REF!</definedName>
    <definedName name="Z_20B88347_EA71_4B72_96F6_0430DD6CF683_.wvu.FilterData" hidden="1">#REF!</definedName>
    <definedName name="Z_2126CDAB_1156_4E6C_97E1_AA9A65DD6B1C_.wvu.FilterData" hidden="1">#REF!</definedName>
    <definedName name="Z_2139F629_098E_4DBA_80EC_9CAE7B114E3D_.wvu.FilterData" hidden="1">#REF!</definedName>
    <definedName name="Z_2185FC51_7502_43A8_900A_0000B7F738F9_.wvu.Rows" hidden="1">#REF!,#REF!,#REF!,#REF!,#REF!,#REF!,#REF!,#REF!,#REF!,#REF!,#REF!,#REF!,#REF!,#REF!,#REF!,#REF!</definedName>
    <definedName name="Z_233204EA_2E5C_465D_A673_CD1522792965_.wvu.FilterData" hidden="1">#REF!</definedName>
    <definedName name="Z_23D4D87B_E328_42A4_850C_A5F5E38C0896_.wvu.FilterData" hidden="1">#REF!</definedName>
    <definedName name="Z_24528680_959E_4550_936C_1982C9D5AD93_.wvu.FilterData" hidden="1">#REF!</definedName>
    <definedName name="Z_260CB89E_3B5F_45AE_AEB4_D0CB957691B3_.wvu.FilterData" hidden="1">#REF!</definedName>
    <definedName name="Z_264C1B79_36AB_4A2F_B216_0AAE38D9FCEE_.wvu.FilterData" hidden="1">#REF!</definedName>
    <definedName name="Z_270BB401_5236_11D4_BB54_0050044E0CFA_.wvu.Cols" hidden="1">#REF!,#REF!,#REF!,#REF!</definedName>
    <definedName name="Z_270BB401_5236_11D4_BB54_0050044E0CFA_.wvu.FilterData" hidden="1">#REF!</definedName>
    <definedName name="Z_270BB401_5236_11D4_BB54_0050044E0CFA_.wvu.PrintArea" hidden="1">#REF!</definedName>
    <definedName name="Z_270BB401_5236_11D4_BB54_0050044E0CFA_.wvu.PrintTitles" hidden="1">#REF!</definedName>
    <definedName name="Z_270BB401_5236_11D4_BB54_0050044E0CFA_.wvu.Rows" hidden="1">#REF!,#REF!</definedName>
    <definedName name="Z_270BB401_5236_11D4_BB54_0050044E0CFA_1" hidden="1">#REF!,#REF!,#REF!,#REF!</definedName>
    <definedName name="Z_270BB401_5236_11D4_BB54_0050044E0CFA_10" hidden="1">#REF!,#REF!,#REF!,#REF!,#REF!,#REF!,#REF!</definedName>
    <definedName name="Z_270BB401_5236_11D4_BB54_0050044E0CFA_11" hidden="1">#REF!,#REF!,#REF!,#REF!</definedName>
    <definedName name="Z_270BB401_5236_11D4_BB54_0050044E0CFA_2" hidden="1">#REF!</definedName>
    <definedName name="Z_270BB401_5236_11D4_BB54_0050044E0CFA_3" hidden="1">#REF!</definedName>
    <definedName name="Z_270BB401_5236_11D4_BB54_0050044E0CFA_4" hidden="1">#REF!</definedName>
    <definedName name="Z_270BB401_5236_11D4_BB54_0050044E0CFA_5" hidden="1">#REF!,#REF!</definedName>
    <definedName name="Z_270BB401_5236_11D4_BB54_0050044E0CFA_6" hidden="1">#REF!,#REF!,#REF!,#REF!</definedName>
    <definedName name="Z_270BB401_5236_11D4_BB54_0050044E0CFA_7" hidden="1">#REF!</definedName>
    <definedName name="Z_270BB401_5236_11D4_BB54_0050044E0CFA_8" hidden="1">#REF!</definedName>
    <definedName name="Z_270BB401_5236_11D4_BB54_0050044E0CFA_9" hidden="1">#REF!</definedName>
    <definedName name="Z_2804E4BB_ED21_11D4_A6F8_00508B654B8B_.wvu.Cols" hidden="1">#REF!,#REF!,#REF!</definedName>
    <definedName name="Z_2804E4BB_ED21_11D4_A6F8_00508B654B8B_.wvu.FilterData" hidden="1">#REF!</definedName>
    <definedName name="Z_2804E4BB_ED21_11D4_A6F8_00508B654B8B_.wvu.PrintArea" hidden="1">#REF!</definedName>
    <definedName name="Z_2804E4BB_ED21_11D4_A6F8_00508B654B8B_.wvu.Rows" hidden="1">#REF!,#REF!</definedName>
    <definedName name="Z_281063A5_BE88_49B0_9AE6_06DB95A6574F_.wvu.FilterData" hidden="1">#REF!</definedName>
    <definedName name="Z_281305A2_0B58_4807_84BA_25130D18B2C1_.wvu.Cols" hidden="1">#REF!,#REF!,#REF!</definedName>
    <definedName name="Z_281305A2_0B58_4807_84BA_25130D18B2C1_.wvu.FilterData" hidden="1">#REF!</definedName>
    <definedName name="Z_29113478_A706_48CF_BCA7_D812794D724A_.wvu.FilterData" hidden="1">#REF!</definedName>
    <definedName name="Z_2935D90A_C0D5_4AAC_9F3B_860FFE850CF8_.wvu.FilterData" hidden="1">#REF!</definedName>
    <definedName name="Z_2AB7915D_DACF_4EC4_BC32_ED6C7808E238_.wvu.FilterData" hidden="1">#REF!</definedName>
    <definedName name="Z_2B1FB9BC_DA2A_4B49_B62E_C3814E35D3D6_.wvu.FilterData" hidden="1">#REF!</definedName>
    <definedName name="Z_2BB0C1CE_B092_4E45_8314_5AF04D1A5585_.wvu.FilterData" hidden="1">#REF!</definedName>
    <definedName name="Z_2CC9EAF0_AAF6_11D4_B10F_0050042A63D7_.wvu.PrintTitles" hidden="1">#REF!</definedName>
    <definedName name="Z_2F70B19E_92D8_4B52_A9E0_5AA5E351B875_.wvu.FilterData" hidden="1">#REF!</definedName>
    <definedName name="Z_2FDE9FB7_A9E4_4C59_BAF3_4B314E523113_.wvu.FilterData" hidden="1">#REF!</definedName>
    <definedName name="Z_30D7D380_BE49_4A5E_BC81_9CAFACE9DFC4_.wvu.FilterData" hidden="1">#REF!</definedName>
    <definedName name="Z_30FEE15E_D26F_11D4_A6F7_00508B6A7686_.wvu.FilterData" hidden="1">#N/A</definedName>
    <definedName name="Z_30FEE15E_D26F_11D4_A6F7_00508B6A7686_.wvu.PrintArea" hidden="1">#N/A</definedName>
    <definedName name="Z_30FEE15E_D26F_11D4_A6F7_00508B6A7686_.wvu.PrintTitles" hidden="1">#N/A</definedName>
    <definedName name="Z_30FEE15E_D26F_11D4_A6F7_00508B6A7686_.wvu.Rows" hidden="1">#N/A</definedName>
    <definedName name="Z_3207F8D0_941B_4818_9EDF_0F0E6A8FB699_.wvu.FilterData" hidden="1">#REF!</definedName>
    <definedName name="Z_326A8AD5_6F81_4722_AB32_2B8561C0B27F_.wvu.FilterData" hidden="1">#REF!</definedName>
    <definedName name="Z_338AA561_3E23_4683_8B84_5BDD13F5FB22_.wvu.FilterData" hidden="1">#REF!</definedName>
    <definedName name="Z_33EFE1D4_1635_4E36_8971_B021BA5B94A3_.wvu.FilterData" hidden="1">#REF!</definedName>
    <definedName name="Z_344D8FDE_1BF2_4A0B_879A_F4B9D317F6C2_.wvu.FilterData" hidden="1">#REF!</definedName>
    <definedName name="Z_34BB3CAB_4C66_4107_B4AC_9CC7E430216B_.wvu.FilterData" hidden="1">#REF!</definedName>
    <definedName name="Z_36FF74A7_09C2_427F_B4E2_AFC58FD33E4E_.wvu.FilterData" hidden="1">#REF!</definedName>
    <definedName name="Z_3801DCB7_5391_4628_B86C_91331E33E863_.wvu.FilterData" hidden="1">#REF!</definedName>
    <definedName name="Z_39C6E7EB_35AE_4990_B01E_5CE29EE5C78D_.wvu.FilterData" hidden="1">#REF!</definedName>
    <definedName name="Z_39DCE38A_8BFC_42B0_BE58_05B2B8E3CF93_.wvu.FilterData" hidden="1">#REF!</definedName>
    <definedName name="Z_3A160DE1_3AF2_4676_8E42_85B4E23450DD_.wvu.FilterData" hidden="1">#REF!</definedName>
    <definedName name="Z_3C62743D_BD70_48A9_935D_71359E3E6185_.wvu.FilterData" hidden="1">#REF!</definedName>
    <definedName name="Z_3E0AC507_7D67_4827_9D1C_B08EEB845EEE_.wvu.FilterData" hidden="1">#REF!</definedName>
    <definedName name="Z_3E55370D_CDBE_46FE_9787_E04F332531E6_.wvu.FilterData" hidden="1">#REF!</definedName>
    <definedName name="Z_3F2D3702_5C5D_4EF2_A404_F2A88AB2D490_.wvu.Cols" hidden="1">#REF!,#REF!</definedName>
    <definedName name="Z_3F84FB7B_8ACA_41F1_9D3E_880588F02BE6_.wvu.FilterData" hidden="1">#REF!</definedName>
    <definedName name="Z_41411E57_1B24_4F47_9532_3D6B371216B7_.wvu.FilterData" hidden="1">#REF!</definedName>
    <definedName name="Z_43E54362_25E0_43EA_8D89_B59839049F13_.wvu.FilterData" hidden="1">#REF!</definedName>
    <definedName name="Z_45001112_601E_4535_B1A1_9727C4B29D3E_.wvu.Cols" hidden="1">#REF!,#REF!</definedName>
    <definedName name="Z_45F72683_7DC9_11D3_8395_00609714BAD5_.wvu.Cols" hidden="1">#REF!</definedName>
    <definedName name="Z_465671FE_53E9_4F55_BC3A_126618F4D0C6_.wvu.FilterData" hidden="1">#REF!</definedName>
    <definedName name="Z_47597DAC_F7F1_4549_8981_4D473E4A7ACC_.wvu.FilterData" hidden="1">#REF!</definedName>
    <definedName name="Z_487A38C1_073E_471A_9668_6284958D8DBA_.wvu.FilterData" hidden="1">#REF!</definedName>
    <definedName name="Z_4C487ED1_AD6B_11D4_8367_0050042B3EC8_.wvu.PrintTitles" hidden="1">#REF!</definedName>
    <definedName name="Z_4C487ED1_AD6B_11D4_8367_0050042B3EC8_.wvu.Rows" hidden="1">#REF!,#REF!,#REF!,#REF!,#REF!,#REF!,#REF!,#REF!,#REF!,#REF!,#REF!,#REF!,#REF!,#REF!,#REF!,#REF!,#REF!</definedName>
    <definedName name="Z_4CF92307_2217_4DE3_996A_A3115CFB22C6_.wvu.FilterData" hidden="1">#REF!</definedName>
    <definedName name="Z_4D3A3A50_1E5E_4ABD_B42A_A700F2D9FA9C_.wvu.FilterData" hidden="1">#REF!</definedName>
    <definedName name="Z_4E5084C6_988E_4780_93B3_7C0275D06567_.wvu.FilterData" hidden="1">#REF!</definedName>
    <definedName name="Z_4F345B1E_296C_4D08_A451_454D67258D24_.wvu.FilterData" hidden="1">#REF!</definedName>
    <definedName name="Z_52BC56C2_1006_4B41_A42A_6B40554CDA39_.wvu.FilterData" hidden="1">#REF!</definedName>
    <definedName name="Z_5319CC99_822D_406F_9C12_25F47E472F3D_.wvu.FilterData" hidden="1">#REF!</definedName>
    <definedName name="Z_531A2E4D_1988_4D59_B927_B7190C80EBAA_.wvu.FilterData" hidden="1">#REF!</definedName>
    <definedName name="Z_5336096B_8FA8_456F_A363_FE981E37A8C4_.wvu.Cols" hidden="1">#REF!</definedName>
    <definedName name="Z_5336096B_8FA8_456F_A363_FE981E37A8C4_.wvu.FilterData" hidden="1">#REF!</definedName>
    <definedName name="Z_5336096B_8FA8_456F_A363_FE981E37A8C4_.wvu.PrintArea" hidden="1">#REF!</definedName>
    <definedName name="Z_5336096B_8FA8_456F_A363_FE981E37A8C4_.wvu.Rows" hidden="1">#REF!,#REF!,#REF!</definedName>
    <definedName name="Z_540A29FC_6866_45E6_BCF1_3D779D34DD08_.wvu.FilterData" hidden="1">#REF!</definedName>
    <definedName name="Z_5520ABA1_AA06_4713_8D35_BC0DC6F6E924_.wvu.FilterData" hidden="1">#REF!</definedName>
    <definedName name="Z_55DB2FC2_4B03_4B29_9354_7D40FB3B7538_.wvu.FilterData" hidden="1">#REF!</definedName>
    <definedName name="Z_56E2F2B5_BB44_431E_ACC1_F39B0DD4EA71_.wvu.FilterData" hidden="1">#REF!</definedName>
    <definedName name="Z_5A5F47F0_2B02_425F_9509_902FEC6CB8D4_.wvu.FilterData" hidden="1">#REF!</definedName>
    <definedName name="Z_5A706A12_B85E_41E2_8BDD_EC85C55902AB_.wvu.FilterData" hidden="1">#REF!</definedName>
    <definedName name="Z_5A868EA0_ED63_11D4_A6F8_009027BEE0E0_.wvu.Cols" hidden="1">#REF!,#REF!,#REF!</definedName>
    <definedName name="Z_5A868EA0_ED63_11D4_A6F8_009027BEE0E0_.wvu.FilterData" hidden="1">#REF!</definedName>
    <definedName name="Z_5A868EA0_ED63_11D4_A6F8_009027BEE0E0_.wvu.PrintArea" hidden="1">#REF!</definedName>
    <definedName name="Z_5A868EA0_ED63_11D4_A6F8_009027BEE0E0_.wvu.Rows" hidden="1">#REF!,#REF!</definedName>
    <definedName name="Z_5B398CB5_38BC_4CC3_9A0E_9513DC3E75AD_.wvu.FilterData" hidden="1">#REF!</definedName>
    <definedName name="Z_5BEEB401_9B72_11D4_8354_0050042B3EC8_.wvu.Cols" hidden="1">#REF!</definedName>
    <definedName name="Z_5BEEB401_9B72_11D4_8354_0050042B3EC8_.wvu.PrintArea" hidden="1">#REF!</definedName>
    <definedName name="Z_5CA8EFA6_7E89_4616_928A_39059E3AA216_.wvu.FilterData" hidden="1">#REF!</definedName>
    <definedName name="Z_60FDB94A_50AF_4E10_876B_D144A2E9568B_.wvu.FilterData" hidden="1">#REF!</definedName>
    <definedName name="Z_61040ED0_7AD6_11D2_B35C_02608CAC8430_.wvu.PrintTitles" hidden="1">#REF!</definedName>
    <definedName name="Z_6307DFB2_850A_11D2_BBED_000001011B8F_.wvu.PrintArea" hidden="1">#REF!</definedName>
    <definedName name="Z_63475192_9094_4BA2_9AFC_8536BC77489E_.wvu.FilterData" hidden="1">#REF!</definedName>
    <definedName name="Z_6403545B_2A3B_4863_8819_F89E80114385_.wvu.FilterData" hidden="1">#REF!</definedName>
    <definedName name="Z_66636C07_5702_4EF3_B655_CDBAF654F15A_.wvu.FilterData" hidden="1">#REF!</definedName>
    <definedName name="Z_6963484B_0282_48B8_8317_EBF3903C7746_.wvu.FilterData" hidden="1">#REF!</definedName>
    <definedName name="Z_69D06662_5693_4F4C_AFD2_A32734DE2B11_.wvu.FilterData" hidden="1">#REF!</definedName>
    <definedName name="Z_6AE2FF41_261D_4F00_9D6D_F4804D21DDB3_.wvu.FilterData" hidden="1">#REF!</definedName>
    <definedName name="Z_6B67A6A0_1413_448D_98A5_D43F57DEC926_.wvu.FilterData" hidden="1">#REF!</definedName>
    <definedName name="Z_6B73B95E_43C0_4085_B9FE_22A6F30869ED_.wvu.FilterData" hidden="1">#REF!</definedName>
    <definedName name="Z_6BCB3D0F_5DBD_48EF_9460_43FFCBBCD422_.wvu.FilterData" hidden="1">#REF!</definedName>
    <definedName name="Z_6C3174E8_A2D4_4179_AA88_08CB5E7EA480_.wvu.FilterData" hidden="1">#REF!</definedName>
    <definedName name="Z_6CA47E86_B3B9_49E0_9BB0_E98600830225_.wvu.FilterData" hidden="1">#REF!</definedName>
    <definedName name="Z_6CF14753_FB4C_4C53_8AD7_D56F6E280083_.wvu.FilterData" hidden="1">#REF!</definedName>
    <definedName name="Z_6D917413_A3B5_4E5B_9004_56E0184D00F3_.wvu.FilterData" hidden="1">#REF!</definedName>
    <definedName name="Z_6E299587_D8E0_4139_8A2F_67139875A814_.wvu.FilterData" hidden="1">#REF!</definedName>
    <definedName name="Z_6E40955B_C2F5_11D5_A6F7_009027BEE7F1_.wvu.Cols" hidden="1">#REF!,#REF!,#REF!</definedName>
    <definedName name="Z_6E40955B_C2F5_11D5_A6F7_009027BEE7F1_.wvu.FilterData" hidden="1">#REF!</definedName>
    <definedName name="Z_6E40955B_C2F5_11D5_A6F7_009027BEE7F1_.wvu.PrintArea" hidden="1">#REF!</definedName>
    <definedName name="Z_6E40955B_C2F5_11D5_A6F7_009027BEE7F1_.wvu.PrintTitles" hidden="1">#REF!</definedName>
    <definedName name="Z_6E40955B_C2F5_11D5_A6F7_009027BEE7F1_.wvu.Rows" hidden="1">#REF!,#REF!</definedName>
    <definedName name="Z_6EE4AFEA_8A42_11D0_BBF1_0020AF29375F_.wvu.Cols" hidden="1">#REF!,#REF!</definedName>
    <definedName name="Z_6EE4AFEC_8A42_11D0_BBF1_0020AF29375F_.wvu.Cols" hidden="1">#REF!</definedName>
    <definedName name="Z_6EE4AFEF_8A42_11D0_BBF1_0020AF29375F_.wvu.Cols" hidden="1">#REF!</definedName>
    <definedName name="Z_6EE4AFF1_8A42_11D0_BBF1_0020AF29375F_.wvu.Cols" hidden="1">#REF!</definedName>
    <definedName name="Z_6EE4AFF9_8A42_11D0_BBF1_0020AF29375F_.wvu.Cols" hidden="1">#REF!,#REF!</definedName>
    <definedName name="Z_6EE4AFFA_8A42_11D0_BBF1_0020AF29375F_.wvu.Cols" hidden="1">#REF!,#REF!</definedName>
    <definedName name="Z_6EE4B002_8A42_11D0_BBF1_0020AF29375F_.wvu.Cols" hidden="1">#REF!,#REF!</definedName>
    <definedName name="Z_6EE4B004_8A42_11D0_BBF1_0020AF29375F_.wvu.Cols" hidden="1">#REF!</definedName>
    <definedName name="Z_6EE4B007_8A42_11D0_BBF1_0020AF29375F_.wvu.Cols" hidden="1">#REF!</definedName>
    <definedName name="Z_6EE4B009_8A42_11D0_BBF1_0020AF29375F_.wvu.Cols" hidden="1">#REF!</definedName>
    <definedName name="Z_6EE4B011_8A42_11D0_BBF1_0020AF29375F_.wvu.Cols" hidden="1">#REF!,#REF!</definedName>
    <definedName name="Z_6EE4B012_8A42_11D0_BBF1_0020AF29375F_.wvu.Cols" hidden="1">#REF!,#REF!</definedName>
    <definedName name="Z_6FD7247E_19B7_4029_9F3A_EE01E21A1B67_.wvu.FilterData" hidden="1">#REF!</definedName>
    <definedName name="Z_70C94FA5_FE89_4042_B93F_6AAFC00B0B8D_.wvu.FilterData" hidden="1">#REF!</definedName>
    <definedName name="Z_735B96DC_7219_4D8B_ABAD_220D2B7947CB_.wvu.FilterData" hidden="1">#REF!</definedName>
    <definedName name="Z_7477AF3A_2BAF_4725_8909_5A723A8007EF_.wvu.FilterData" hidden="1">#REF!</definedName>
    <definedName name="Z_769F22F0_2CE4_4330_85CB_1C9A68E8695A_.wvu.Cols" hidden="1">#REF!</definedName>
    <definedName name="Z_772A0E09_E630_11D6_8608_0001029C9B35_.wvu.Rows" hidden="1">#REF!,#REF!,#REF!</definedName>
    <definedName name="Z_779FC938_DF7A_4CF6_94B0_CDCDD6986FF7_.wvu.FilterData" hidden="1">#REF!</definedName>
    <definedName name="Z_77C15715_A4AB_4912_82E3_0F7DB54190C8_.wvu.FilterData" hidden="1">#REF!</definedName>
    <definedName name="Z_78843FEE_592A_4684_AA75_B78B1EF9F038_.wvu.FilterData" hidden="1">#REF!</definedName>
    <definedName name="Z_7990C264_C2FA_4640_A803_28B1D360B5E8_.wvu.FilterData" hidden="1">#REF!</definedName>
    <definedName name="Z_7A052380_7D70_11CF_8A56_006097109093_.wvu.Cols" hidden="1">#REF!</definedName>
    <definedName name="Z_7A052380_7D70_11CF_8A56_006097109093_.wvu.Rows" hidden="1">#REF!,#REF!</definedName>
    <definedName name="Z_7A398D2C_8D5C_43F0_ACD4_39BBBD17F460_.wvu.FilterData" hidden="1">#REF!</definedName>
    <definedName name="Z_7BCAD35B_48BA_4F56_9D13_DD526F9AC0B8_.wvu.FilterData" hidden="1">#REF!</definedName>
    <definedName name="Z_7C4B07A8_2C5F_4DD5_99EB_9D4251FC0870_.wvu.FilterData" hidden="1">#REF!</definedName>
    <definedName name="Z_7C5D64EB_B280_4DF7_8070_7F6FFC6C118D_.wvu.FilterData" hidden="1">#REF!</definedName>
    <definedName name="Z_7CB778C4_AF6E_4D70_BAFD_ACCBAF83FC37_.wvu.FilterData" hidden="1">#REF!</definedName>
    <definedName name="Z_7DCC4356_81CF_48CE_B7EB_F916460AE99C_.wvu.FilterData" hidden="1">#REF!</definedName>
    <definedName name="Z_80BB6A2B_9544_4672_8398_FF4DA23DF7E3_.wvu.FilterData" hidden="1">#REF!</definedName>
    <definedName name="Z_82162C14_21B9_4F0E_9062_D64779601F45_.wvu.Cols" hidden="1">#REF!</definedName>
    <definedName name="Z_82162C14_21B9_4F0E_9062_D64779601F45_.wvu.FilterData" hidden="1">#REF!</definedName>
    <definedName name="Z_82162C14_21B9_4F0E_9062_D64779601F45_.wvu.PrintArea" hidden="1">#REF!</definedName>
    <definedName name="Z_82162C14_21B9_4F0E_9062_D64779601F45_.wvu.Rows" hidden="1">#REF!,#REF!,#REF!,#REF!,#REF!,#REF!</definedName>
    <definedName name="Z_82B9C43D_DB96_4397_AB1F_50E5A3A51795_.wvu.FilterData" hidden="1">#REF!</definedName>
    <definedName name="Z_82C8496E_E420_4D06_A8C1_E376CC09F820_.wvu.FilterData" hidden="1">#REF!</definedName>
    <definedName name="Z_837E5FC6_4281_4107_B0DC_A8F463497E55_.wvu.FilterData" hidden="1">#REF!</definedName>
    <definedName name="Z_83DCEEFF_4705_40AE_8072_0483B5743B5D_.wvu.FilterData" hidden="1">#REF!</definedName>
    <definedName name="Z_847A5FFF_A89C_4897_906B_EE405B25B225_.wvu.FilterData" hidden="1">#REF!</definedName>
    <definedName name="Z_854255C5_1077_459B_B647_AC8F4FD47D3A_.wvu.FilterData" hidden="1">#REF!</definedName>
    <definedName name="Z_85688AD2_A893_478E_9B2F_09B7C42482BA_.wvu.FilterData" hidden="1">#REF!</definedName>
    <definedName name="Z_86E9B424_197E_49CF_BFDA_2932BCEDD971_.wvu.FilterData" hidden="1">#REF!</definedName>
    <definedName name="Z_87D15442_58BD_4F3C_94DE_531020BB2A9F_.wvu.FilterData" hidden="1">#REF!</definedName>
    <definedName name="Z_87D52449_3B5E_4E8B_88A5_E300D9996EC7_.wvu.FilterData" hidden="1">#REF!</definedName>
    <definedName name="Z_889FE9FF_01D3_44AA_A47F_CD9BB14E2F74_.wvu.FilterData" hidden="1">#REF!</definedName>
    <definedName name="Z_8A11493B_31C6_480A_939B_94F8B46F7CAD_.wvu.FilterData" hidden="1">#REF!</definedName>
    <definedName name="Z_8A3676BD_192D_4B28_9F15_641104F7EB84_.wvu.FilterData" hidden="1">#REF!</definedName>
    <definedName name="Z_8AC1FF86_8181_4D33_A09C_D9252642F43D_.wvu.FilterData" hidden="1">#REF!</definedName>
    <definedName name="Z_8BCA58BD_70B7_40CE_A039_A616AAA9DF70_.wvu.FilterData" hidden="1">#REF!</definedName>
    <definedName name="Z_8C04156B_ECE3_4BE6_AE81_B06AC9DDCBBD_.wvu.FilterData" hidden="1">#REF!</definedName>
    <definedName name="Z_8D3BBDE3_D029_48FA_A7B1_266CA3A2B214_.wvu.FilterData" hidden="1">#REF!</definedName>
    <definedName name="Z_8D4E2CE7_B4AE_4487_A6EA_D94B532EF301_.wvu.FilterData" hidden="1">#REF!</definedName>
    <definedName name="Z_8EF961B3_4699_4490_B556_B5887737954D_.wvu.FilterData" hidden="1">#REF!</definedName>
    <definedName name="Z_8F73BF06_066B_4104_83FA_9338D9429A84_.wvu.FilterData" hidden="1">#REF!</definedName>
    <definedName name="Z_901DD601_3312_11D5_8F89_00010215A1CA_.wvu.Rows" hidden="1">#REF!,#REF!</definedName>
    <definedName name="Z_91195996_3591_4989_AC51_1CC20C4DA8EA_.wvu.FilterData" hidden="1">#REF!</definedName>
    <definedName name="Z_9208C872_C6DF_11D0_B623_0020AF49B783_.wvu.Cols" hidden="1">#REF!,#REF!</definedName>
    <definedName name="Z_9208C874_C6DF_11D0_B623_0020AF49B783_.wvu.Cols" hidden="1">#REF!</definedName>
    <definedName name="Z_9208C877_C6DF_11D0_B623_0020AF49B783_.wvu.Cols" hidden="1">#REF!</definedName>
    <definedName name="Z_9208C879_C6DF_11D0_B623_0020AF49B783_.wvu.Cols" hidden="1">#REF!</definedName>
    <definedName name="Z_9208C881_C6DF_11D0_B623_0020AF49B783_.wvu.Cols" hidden="1">#REF!,#REF!</definedName>
    <definedName name="Z_9208C882_C6DF_11D0_B623_0020AF49B783_.wvu.Cols" hidden="1">#REF!,#REF!</definedName>
    <definedName name="Z_9208C88A_C6DF_11D0_B623_0020AF49B783_.wvu.Cols" hidden="1">#REF!,#REF!</definedName>
    <definedName name="Z_9208C88C_C6DF_11D0_B623_0020AF49B783_.wvu.Cols" hidden="1">#REF!</definedName>
    <definedName name="Z_9208C88F_C6DF_11D0_B623_0020AF49B783_.wvu.Cols" hidden="1">#REF!</definedName>
    <definedName name="Z_9208C891_C6DF_11D0_B623_0020AF49B783_.wvu.Cols" hidden="1">#REF!</definedName>
    <definedName name="Z_9208C899_C6DF_11D0_B623_0020AF49B783_.wvu.Cols" hidden="1">#REF!,#REF!</definedName>
    <definedName name="Z_9208C89A_C6DF_11D0_B623_0020AF49B783_.wvu.Cols" hidden="1">#REF!,#REF!</definedName>
    <definedName name="Z_92F7E099_0E3C_11D1_BBF1_0020AF29375F_.wvu.Cols" hidden="1">#REF!,#REF!</definedName>
    <definedName name="Z_92F7E09B_0E3C_11D1_BBF1_0020AF29375F_.wvu.Cols" hidden="1">#REF!</definedName>
    <definedName name="Z_92F7E09E_0E3C_11D1_BBF1_0020AF29375F_.wvu.Cols" hidden="1">#REF!</definedName>
    <definedName name="Z_92F7E0A0_0E3C_11D1_BBF1_0020AF29375F_.wvu.Cols" hidden="1">#REF!</definedName>
    <definedName name="Z_92F7E0A8_0E3C_11D1_BBF1_0020AF29375F_.wvu.Cols" hidden="1">#REF!,#REF!</definedName>
    <definedName name="Z_92F7E0A9_0E3C_11D1_BBF1_0020AF29375F_.wvu.Cols" hidden="1">#REF!,#REF!</definedName>
    <definedName name="Z_92F7E0B1_0E3C_11D1_BBF1_0020AF29375F_.wvu.Cols" hidden="1">#REF!,#REF!</definedName>
    <definedName name="Z_92F7E0B3_0E3C_11D1_BBF1_0020AF29375F_.wvu.Cols" hidden="1">#REF!</definedName>
    <definedName name="Z_92F7E0B6_0E3C_11D1_BBF1_0020AF29375F_.wvu.Cols" hidden="1">#REF!</definedName>
    <definedName name="Z_92F7E0B8_0E3C_11D1_BBF1_0020AF29375F_.wvu.Cols" hidden="1">#REF!</definedName>
    <definedName name="Z_92F7E0C0_0E3C_11D1_BBF1_0020AF29375F_.wvu.Cols" hidden="1">#REF!,#REF!</definedName>
    <definedName name="Z_92F7E0C1_0E3C_11D1_BBF1_0020AF29375F_.wvu.Cols" hidden="1">#REF!,#REF!</definedName>
    <definedName name="Z_9337D27C_F450_4E0F_A993_9FA6026031B4_.wvu.FilterData" hidden="1">#REF!</definedName>
    <definedName name="Z_941E78A0_DA15_4559_8D24_47E60F64B332_.wvu.FilterData" hidden="1">#REF!</definedName>
    <definedName name="Z_9673D06C_8E2D_4E41_BE89_13756C9C3BAE_.wvu.PrintArea" hidden="1">#REF!</definedName>
    <definedName name="Z_96AA1B52_E178_11D0_BBF1_0020AF29375F_.wvu.Cols" hidden="1">#REF!,#REF!</definedName>
    <definedName name="Z_96AA1B54_E178_11D0_BBF1_0020AF29375F_.wvu.Cols" hidden="1">#REF!</definedName>
    <definedName name="Z_96AA1B57_E178_11D0_BBF1_0020AF29375F_.wvu.Cols" hidden="1">#REF!</definedName>
    <definedName name="Z_96AA1B59_E178_11D0_BBF1_0020AF29375F_.wvu.Cols" hidden="1">#REF!</definedName>
    <definedName name="Z_96AA1B61_E178_11D0_BBF1_0020AF29375F_.wvu.Cols" hidden="1">#REF!,#REF!</definedName>
    <definedName name="Z_96AA1B62_E178_11D0_BBF1_0020AF29375F_.wvu.Cols" hidden="1">#REF!,#REF!</definedName>
    <definedName name="Z_96AA1B6A_E178_11D0_BBF1_0020AF29375F_.wvu.Cols" hidden="1">#REF!,#REF!</definedName>
    <definedName name="Z_96AA1B6C_E178_11D0_BBF1_0020AF29375F_.wvu.Cols" hidden="1">#REF!</definedName>
    <definedName name="Z_96AA1B6F_E178_11D0_BBF1_0020AF29375F_.wvu.Cols" hidden="1">#REF!</definedName>
    <definedName name="Z_96AA1B71_E178_11D0_BBF1_0020AF29375F_.wvu.Cols" hidden="1">#REF!</definedName>
    <definedName name="Z_96AA1B79_E178_11D0_BBF1_0020AF29375F_.wvu.Cols" hidden="1">#REF!,#REF!</definedName>
    <definedName name="Z_96AA1B7A_E178_11D0_BBF1_0020AF29375F_.wvu.Cols" hidden="1">#REF!,#REF!</definedName>
    <definedName name="Z_96F2EE26_6561_4F4C_A5EB_5B153675D529_.wvu.FilterData" hidden="1">#REF!</definedName>
    <definedName name="Z_97D4D5E5_43F4_446C_A651_11999CE73F0D_.wvu.FilterData" hidden="1">#REF!</definedName>
    <definedName name="Z_99D15F62_90C4_405A_985F_7C185F19F985_.wvu.Rows" hidden="1">#REF!,#REF!,#REF!,#REF!,#REF!,#REF!,#REF!,#REF!,#REF!,#REF!,#REF!,#REF!,#REF!,#REF!,#REF!,#REF!</definedName>
    <definedName name="Z_9B9949C8_0BAA_4B11_A1CA_00EC9D2DC419_.wvu.FilterData" hidden="1">#REF!</definedName>
    <definedName name="Z_9B9F8217_DFAB_11D3_AE91_0090272D3C77_.wvu.FilterData" hidden="1">#REF!</definedName>
    <definedName name="Z_9C3E33FF_6562_4D26_BDF3_B29555E64301_.wvu.FilterData" hidden="1">#REF!</definedName>
    <definedName name="Z_9DFA07EB_C6E0_4532_9E8F_13C24B46A1AE_.wvu.FilterData" hidden="1">#REF!</definedName>
    <definedName name="Z_9F4E9141_41FC_4B2C_AC1F_EC647474A564_.wvu.PrintArea" hidden="1">#REF!</definedName>
    <definedName name="Z_9F4E9141_41FC_4B2C_AC1F_EC647474A564_.wvu.Rows" hidden="1">#REF!</definedName>
    <definedName name="Z_A0AC4B42_5259_11D4_B5FE_00C04FC949BF_.wvu.Cols" hidden="1">#REF!,#REF!,#REF!,#REF!</definedName>
    <definedName name="Z_A0AC4B42_5259_11D4_B5FE_00C04FC949BF_.wvu.FilterData" hidden="1">#REF!</definedName>
    <definedName name="Z_A0AC4B42_5259_11D4_B5FE_00C04FC949BF_.wvu.PrintArea" hidden="1">#REF!</definedName>
    <definedName name="Z_A0AC4B42_5259_11D4_B5FE_00C04FC949BF_.wvu.PrintTitles" hidden="1">#REF!</definedName>
    <definedName name="Z_A0AC4B42_5259_11D4_B5FE_00C04FC949BF_.wvu.Rows" hidden="1">#REF!,#REF!,#REF!,#REF!,#REF!,#REF!,#REF!</definedName>
    <definedName name="Z_A0DAD961_7197_404E_AC96_B0E615F9E830_.wvu.FilterData" hidden="1">#REF!</definedName>
    <definedName name="Z_A158D6E1_ED44_11D4_A6F7_00508B654028_.wvu.Cols" hidden="1">#REF!,#REF!</definedName>
    <definedName name="Z_A158D6E1_ED44_11D4_A6F7_00508B654028_.wvu.FilterData" hidden="1">#REF!</definedName>
    <definedName name="Z_A158D6E1_ED44_11D4_A6F7_00508B654028_.wvu.PrintArea" hidden="1">#REF!</definedName>
    <definedName name="Z_A158D6E1_ED44_11D4_A6F7_00508B654028_.wvu.Rows" hidden="1">#REF!,#REF!</definedName>
    <definedName name="Z_A24ACA16_EB04_482F_BB9A_2599E185C3D3_.wvu.FilterData" hidden="1">#REF!</definedName>
    <definedName name="Z_A4633B85_467D_49EB_95E7_E7B11A609631_.wvu.Cols" hidden="1">#REF!,#REF!</definedName>
    <definedName name="Z_A4633B85_467D_49EB_95E7_E7B11A609631_.wvu.Rows" hidden="1">#REF!,#REF!</definedName>
    <definedName name="Z_A4C45DF8_E6D8_4B06_84E7_81A5A9500D55_.wvu.FilterData" hidden="1">#REF!</definedName>
    <definedName name="Z_A52E95D2_430A_43EF_8C82_83878B555090_.wvu.FilterData" hidden="1">#REF!</definedName>
    <definedName name="Z_A564E848_8A16_4DE3_8578_F95B0AFD9DC2_.wvu.FilterData" hidden="1">#REF!</definedName>
    <definedName name="Z_A781204A_C096_4FD9_8686_E749AD880175_.wvu.FilterData" hidden="1">#REF!</definedName>
    <definedName name="Z_A8794A83_181C_4122_B911_4BBD3A571DEC_.wvu.FilterData" hidden="1">#REF!</definedName>
    <definedName name="Z_A9FF1EAD_E7B8_4A8D_9232_4283389FA5DC_.wvu.Cols" hidden="1">#REF!</definedName>
    <definedName name="Z_A9FF1EAD_E7B8_4A8D_9232_4283389FA5DC_.wvu.PrintArea" hidden="1">#REF!</definedName>
    <definedName name="Z_A9FF1EAD_E7B8_4A8D_9232_4283389FA5DC_.wvu.PrintTitles" hidden="1">#REF!</definedName>
    <definedName name="Z_AA3FC3D4_6E6E_4CE7_81E8_4A7B17AB1715_.wvu.FilterData" hidden="1">#REF!</definedName>
    <definedName name="Z_AAB7394C_3FF8_4265_B8C2_66BBB8B1248C_.wvu.FilterData" hidden="1">#REF!</definedName>
    <definedName name="Z_AB45FFAE_19AD_47F2_A68A_497CFA02F912_.wvu.Rows" hidden="1">#REF!</definedName>
    <definedName name="Z_ABFCADC3_4CF7_48CF_B39D_E5828A75D43E_.wvu.FilterData" hidden="1">#REF!</definedName>
    <definedName name="Z_AC4A34A8_23F5_4C09_A60F_7421B1C74590_.wvu.FilterData" hidden="1">#REF!</definedName>
    <definedName name="Z_AC584ACE_C266_4881_B354_E52E6427C1D4_.wvu.FilterData" hidden="1">#REF!</definedName>
    <definedName name="Z_AD1AC26D_B0C2_11D0_BBF1_0020AF29375F_.wvu.Cols" hidden="1">#REF!,#REF!</definedName>
    <definedName name="Z_AD1AC26F_B0C2_11D0_BBF1_0020AF29375F_.wvu.Cols" hidden="1">#REF!</definedName>
    <definedName name="Z_AD1AC272_B0C2_11D0_BBF1_0020AF29375F_.wvu.Cols" hidden="1">#REF!</definedName>
    <definedName name="Z_AD1AC274_B0C2_11D0_BBF1_0020AF29375F_.wvu.Cols" hidden="1">#REF!</definedName>
    <definedName name="Z_AD1AC27C_B0C2_11D0_BBF1_0020AF29375F_.wvu.Cols" hidden="1">#REF!,#REF!</definedName>
    <definedName name="Z_AD1AC27D_B0C2_11D0_BBF1_0020AF29375F_.wvu.Cols" hidden="1">#REF!,#REF!</definedName>
    <definedName name="Z_AD1AC285_B0C2_11D0_BBF1_0020AF29375F_.wvu.Cols" hidden="1">#REF!,#REF!</definedName>
    <definedName name="Z_AD1AC287_B0C2_11D0_BBF1_0020AF29375F_.wvu.Cols" hidden="1">#REF!</definedName>
    <definedName name="Z_AD1AC28A_B0C2_11D0_BBF1_0020AF29375F_.wvu.Cols" hidden="1">#REF!</definedName>
    <definedName name="Z_AD1AC28C_B0C2_11D0_BBF1_0020AF29375F_.wvu.Cols" hidden="1">#REF!</definedName>
    <definedName name="Z_AD1AC294_B0C2_11D0_BBF1_0020AF29375F_.wvu.Cols" hidden="1">#REF!,#REF!</definedName>
    <definedName name="Z_AD1AC295_B0C2_11D0_BBF1_0020AF29375F_.wvu.Cols" hidden="1">#REF!,#REF!</definedName>
    <definedName name="Z_AD28BEA7_74AD_4668_98DA_B02594AB4A9F_.wvu.FilterData" hidden="1">#REF!</definedName>
    <definedName name="Z_ADA92181_C3E4_11D5_A6F7_00508B6A7686_.wvu.Cols" hidden="1">#REF!,#REF!,#REF!</definedName>
    <definedName name="Z_ADA92181_C3E4_11D5_A6F7_00508B6A7686_.wvu.FilterData" hidden="1">#REF!</definedName>
    <definedName name="Z_ADA92181_C3E4_11D5_A6F7_00508B6A7686_.wvu.PrintArea" hidden="1">#REF!</definedName>
    <definedName name="Z_ADA92181_C3E4_11D5_A6F7_00508B6A7686_.wvu.PrintTitles" hidden="1">#REF!</definedName>
    <definedName name="Z_ADA92181_C3E4_11D5_A6F7_00508B6A7686_.wvu.Rows" hidden="1">#REF!,#REF!</definedName>
    <definedName name="Z_ADDFEFC7_F8D4_4F51_8B45_4DF1B03C1D84_.wvu.FilterData" hidden="1">#REF!</definedName>
    <definedName name="Z_ADF62E27_E4C1_11D4_A1E4_00104B4B3CB3_.wvu.PrintArea" hidden="1">#REF!</definedName>
    <definedName name="Z_AFC4E5D4_3A50_4BD7_8981_E00CA5601E99_.wvu.FilterData" hidden="1">#REF!</definedName>
    <definedName name="Z_B0364D3E_645F_4033_893D_29F2224BCCD7_.wvu.FilterData" hidden="1">#REF!</definedName>
    <definedName name="Z_B08CF5DC_76DD_45F7_8117_C9FE4CDFE13D_.wvu.FilterData" hidden="1">#REF!</definedName>
    <definedName name="Z_B13DA151_EB04_4E46_A0CB_FABFF9C5DF72_.wvu.FilterData" hidden="1">#REF!</definedName>
    <definedName name="Z_B340090A_7121_4DF7_B8FD_E7BF8654F2EB_.wvu.FilterData" hidden="1">#REF!</definedName>
    <definedName name="Z_B3790809_8402_4639_802D_68CB564D3CAD_.wvu.FilterData" hidden="1">#REF!</definedName>
    <definedName name="Z_B3C1D59A_903F_46DF_8DF2_31381BD91025_.wvu.FilterData" hidden="1">#REF!</definedName>
    <definedName name="Z_B3CDBC94_37F5_4116_BD6E_D5B385C07413_.wvu.FilterData" hidden="1">#REF!</definedName>
    <definedName name="Z_B40719B5_6DD8_41F3_9C61_FA18B7BEC194_.wvu.FilterData" hidden="1">#REF!</definedName>
    <definedName name="Z_B5FB1767_00F1_47E1_979A_38E2CFECCE4E_.wvu.FilterData" hidden="1">#REF!</definedName>
    <definedName name="Z_B6D61CEC_479F_40D2_BFB7_830AFA48121C_.wvu.FilterData" hidden="1">#REF!</definedName>
    <definedName name="Z_B6EA8A04_6067_4CED_8676_4375FC6E4929_.wvu.FilterData" hidden="1">#REF!</definedName>
    <definedName name="Z_B8515688_C072_49D4_80D4_1978E858526D_.wvu.FilterData" hidden="1">#REF!</definedName>
    <definedName name="Z_BB0C7DED_1A2A_447D_AC53_8122CFF9D6F6_.wvu.FilterData" hidden="1">#REF!</definedName>
    <definedName name="Z_BD047219_C723_45AF_B6CE_3194D750F96A_.wvu.FilterData" hidden="1">#REF!</definedName>
    <definedName name="Z_BD9F2785_62CE_454B_8EC4_5B70580F1E90_.wvu.FilterData" hidden="1">#REF!</definedName>
    <definedName name="Z_BF9A441D_91C9_4CBB_A8C6_B1C8DDED0022_.wvu.FilterData" hidden="1">#REF!</definedName>
    <definedName name="Z_BFC54781_86DE_4A03_8DE2_96245227F466_.wvu.FilterData" hidden="1">#REF!</definedName>
    <definedName name="Z_BFD46250_AAC1_4A55_AF46_ED8E09898BF5_.wvu.FilterData" hidden="1">#REF!</definedName>
    <definedName name="Z_C061817B_F471_4B81_90AE_E317DA2C9A58_.wvu.FilterData" hidden="1">#REF!</definedName>
    <definedName name="Z_C0A63332_F77B_11D0_B623_0020AF49B783_.wvu.Cols" hidden="1">#REF!,#REF!</definedName>
    <definedName name="Z_C0A63334_F77B_11D0_B623_0020AF49B783_.wvu.Cols" hidden="1">#REF!</definedName>
    <definedName name="Z_C0A63337_F77B_11D0_B623_0020AF49B783_.wvu.Cols" hidden="1">#REF!</definedName>
    <definedName name="Z_C0A63339_F77B_11D0_B623_0020AF49B783_.wvu.Cols" hidden="1">#REF!</definedName>
    <definedName name="Z_C0A63341_F77B_11D0_B623_0020AF49B783_.wvu.Cols" hidden="1">#REF!,#REF!</definedName>
    <definedName name="Z_C0A63342_F77B_11D0_B623_0020AF49B783_.wvu.Cols" hidden="1">#REF!,#REF!</definedName>
    <definedName name="Z_C0A6334A_F77B_11D0_B623_0020AF49B783_.wvu.Cols" hidden="1">#REF!,#REF!</definedName>
    <definedName name="Z_C0A6334C_F77B_11D0_B623_0020AF49B783_.wvu.Cols" hidden="1">#REF!</definedName>
    <definedName name="Z_C0A6334F_F77B_11D0_B623_0020AF49B783_.wvu.Cols" hidden="1">#REF!</definedName>
    <definedName name="Z_C0A63351_F77B_11D0_B623_0020AF49B783_.wvu.Cols" hidden="1">#REF!</definedName>
    <definedName name="Z_C0A63359_F77B_11D0_B623_0020AF49B783_.wvu.Cols" hidden="1">#REF!,#REF!</definedName>
    <definedName name="Z_C0A6335A_F77B_11D0_B623_0020AF49B783_.wvu.Cols" hidden="1">#REF!,#REF!</definedName>
    <definedName name="Z_C131E47D_3396_4B17_9E92_DB888AEA91D5_.wvu.FilterData" hidden="1">#REF!</definedName>
    <definedName name="Z_C1802170_5495_42FB_B728_35CD980B19D6_.wvu.FilterData" hidden="1">#REF!</definedName>
    <definedName name="Z_C26D4D2E_294B_4D2B_871F_2EC8A4E760C7_.wvu.FilterData" hidden="1">#REF!</definedName>
    <definedName name="Z_C3063329_D0D0_4637_A72C_F328A5547CE7_.wvu.FilterData" hidden="1">#REF!</definedName>
    <definedName name="Z_C37E65A7_9893_435E_9759_72E0D8A5DD87_.wvu.PrintTitles" hidden="1">#REF!</definedName>
    <definedName name="Z_C3D9BAF0_1C78_4CB5_AEF9_0EEE2A9DE669_.wvu.FilterData" hidden="1">#REF!</definedName>
    <definedName name="Z_C4068392_70E2_11D7_882C_000102B7EA93_.wvu.FilterData" hidden="1">#REF!</definedName>
    <definedName name="Z_C52FD69E_5B9C_4D82_B7ED_70C261BE0700_.wvu.FilterData" hidden="1">#REF!</definedName>
    <definedName name="Z_C5C733EB_610D_427A_858C_C033BAAB9779_.wvu.FilterData" hidden="1">#REF!</definedName>
    <definedName name="Z_C6A4B951_CE93_4890_83F3_C23448F2D1D7_.wvu.FilterData" hidden="1">#REF!</definedName>
    <definedName name="Z_C76CCD33_7C08_45FB_9AA2_FEC286E8C541_.wvu.FilterData" hidden="1">#REF!</definedName>
    <definedName name="Z_C84D2CA0_D764_11D5_8958_005022823A54_.wvu.PrintArea" hidden="1">#REF!</definedName>
    <definedName name="Z_C8B71C34_C314_4936_BB18_B6D11C7CA539_.wvu.FilterData" hidden="1">#REF!</definedName>
    <definedName name="Z_C9C06A35_3B51_4DE2_AA97_F5650AC53897_.wvu.FilterData" hidden="1">#REF!</definedName>
    <definedName name="Z_CB1D7872_F78D_11D0_B623_0020AF49B783_.wvu.Cols" hidden="1">#REF!,#REF!</definedName>
    <definedName name="Z_CB1D7874_F78D_11D0_B623_0020AF49B783_.wvu.Cols" hidden="1">#REF!</definedName>
    <definedName name="Z_CB1D7877_F78D_11D0_B623_0020AF49B783_.wvu.Cols" hidden="1">#REF!</definedName>
    <definedName name="Z_CB1D7879_F78D_11D0_B623_0020AF49B783_.wvu.Cols" hidden="1">#REF!</definedName>
    <definedName name="Z_CB1D7881_F78D_11D0_B623_0020AF49B783_.wvu.Cols" hidden="1">#REF!,#REF!</definedName>
    <definedName name="Z_CB1D7882_F78D_11D0_B623_0020AF49B783_.wvu.Cols" hidden="1">#REF!,#REF!</definedName>
    <definedName name="Z_CB1D788A_F78D_11D0_B623_0020AF49B783_.wvu.Cols" hidden="1">#REF!,#REF!</definedName>
    <definedName name="Z_CB1D788C_F78D_11D0_B623_0020AF49B783_.wvu.Cols" hidden="1">#REF!</definedName>
    <definedName name="Z_CB1D788F_F78D_11D0_B623_0020AF49B783_.wvu.Cols" hidden="1">#REF!</definedName>
    <definedName name="Z_CB1D7891_F78D_11D0_B623_0020AF49B783_.wvu.Cols" hidden="1">#REF!</definedName>
    <definedName name="Z_CB1D7899_F78D_11D0_B623_0020AF49B783_.wvu.Cols" hidden="1">#REF!,#REF!</definedName>
    <definedName name="Z_CB1D789A_F78D_11D0_B623_0020AF49B783_.wvu.Cols" hidden="1">#REF!,#REF!</definedName>
    <definedName name="Z_CB1D7A38_F78D_11D0_B623_0020AF49B783_.wvu.Cols" hidden="1">#REF!,#REF!</definedName>
    <definedName name="Z_CB1D7A3A_F78D_11D0_B623_0020AF49B783_.wvu.Cols" hidden="1">#REF!</definedName>
    <definedName name="Z_CB1D7A3D_F78D_11D0_B623_0020AF49B783_.wvu.Cols" hidden="1">#REF!</definedName>
    <definedName name="Z_CB1D7A3F_F78D_11D0_B623_0020AF49B783_.wvu.Cols" hidden="1">#REF!</definedName>
    <definedName name="Z_CB1D7A47_F78D_11D0_B623_0020AF49B783_.wvu.Cols" hidden="1">#REF!,#REF!</definedName>
    <definedName name="Z_CB1D7A48_F78D_11D0_B623_0020AF49B783_.wvu.Cols" hidden="1">#REF!,#REF!</definedName>
    <definedName name="Z_CB1D7A50_F78D_11D0_B623_0020AF49B783_.wvu.Cols" hidden="1">#REF!,#REF!</definedName>
    <definedName name="Z_CB1D7A52_F78D_11D0_B623_0020AF49B783_.wvu.Cols" hidden="1">#REF!</definedName>
    <definedName name="Z_CB1D7A55_F78D_11D0_B623_0020AF49B783_.wvu.Cols" hidden="1">#REF!</definedName>
    <definedName name="Z_CB1D7A57_F78D_11D0_B623_0020AF49B783_.wvu.Cols" hidden="1">#REF!</definedName>
    <definedName name="Z_CB1D7A5F_F78D_11D0_B623_0020AF49B783_.wvu.Cols" hidden="1">#REF!,#REF!</definedName>
    <definedName name="Z_CB1D7A60_F78D_11D0_B623_0020AF49B783_.wvu.Cols" hidden="1">#REF!,#REF!</definedName>
    <definedName name="Z_CB8A7D86_8A72_11D0_BBF1_0020AF29375F_.wvu.Cols" hidden="1">#REF!,#REF!</definedName>
    <definedName name="Z_CB8A7D88_8A72_11D0_BBF1_0020AF29375F_.wvu.Cols" hidden="1">#REF!</definedName>
    <definedName name="Z_CB8A7D8B_8A72_11D0_BBF1_0020AF29375F_.wvu.Cols" hidden="1">#REF!</definedName>
    <definedName name="Z_CB8A7D8D_8A72_11D0_BBF1_0020AF29375F_.wvu.Cols" hidden="1">#REF!</definedName>
    <definedName name="Z_CB8A7D95_8A72_11D0_BBF1_0020AF29375F_.wvu.Cols" hidden="1">#REF!,#REF!</definedName>
    <definedName name="Z_CB8A7D96_8A72_11D0_BBF1_0020AF29375F_.wvu.Cols" hidden="1">#REF!,#REF!</definedName>
    <definedName name="Z_CB8A7D9E_8A72_11D0_BBF1_0020AF29375F_.wvu.Cols" hidden="1">#REF!,#REF!</definedName>
    <definedName name="Z_CB8A7DA0_8A72_11D0_BBF1_0020AF29375F_.wvu.Cols" hidden="1">#REF!</definedName>
    <definedName name="Z_CB8A7DA3_8A72_11D0_BBF1_0020AF29375F_.wvu.Cols" hidden="1">#REF!</definedName>
    <definedName name="Z_CB8A7DA5_8A72_11D0_BBF1_0020AF29375F_.wvu.Cols" hidden="1">#REF!</definedName>
    <definedName name="Z_CB8A7DAD_8A72_11D0_BBF1_0020AF29375F_.wvu.Cols" hidden="1">#REF!,#REF!</definedName>
    <definedName name="Z_CB8A7DAE_8A72_11D0_BBF1_0020AF29375F_.wvu.Cols" hidden="1">#REF!,#REF!</definedName>
    <definedName name="Z_CC9625CD_AAA3_4136_9705_36B82D07620E_.wvu.FilterData" hidden="1">#REF!</definedName>
    <definedName name="Z_CCACCE7A_EDA9_4FA4_88F6_AD6D5528E296_.wvu.FilterData" hidden="1">#REF!</definedName>
    <definedName name="Z_CDBBB3DF_C053_4317_9584_CD4D6DEEA688_.wvu.FilterData" hidden="1">#REF!</definedName>
    <definedName name="Z_CDFC9A88_B0BB_44E0_97F8_9097DD382BA5_.wvu.FilterData" hidden="1">#REF!</definedName>
    <definedName name="Z_CEDDC640_EE2A_4435_891D_2BDAE542CFD2_.wvu.FilterData" hidden="1">#REF!</definedName>
    <definedName name="Z_D160E602_2AEA_11D5_9389_00104B49BB00_.wvu.Rows" hidden="1">#REF!</definedName>
    <definedName name="Z_D1A82D5E_68FD_4B68_9784_52B58E5636E7_.wvu.FilterData" hidden="1">#REF!</definedName>
    <definedName name="Z_D1FAB40C_1B34_4F9F_B37A_5127BD88BBAC_.wvu.FilterData" hidden="1">#REF!</definedName>
    <definedName name="Z_D2C4350A_8B21_11D0_BBF1_0020AF29375F_.wvu.Cols" hidden="1">#REF!,#REF!</definedName>
    <definedName name="Z_D2C4350C_8B21_11D0_BBF1_0020AF29375F_.wvu.Cols" hidden="1">#REF!</definedName>
    <definedName name="Z_D2C4350F_8B21_11D0_BBF1_0020AF29375F_.wvu.Cols" hidden="1">#REF!</definedName>
    <definedName name="Z_D2C43511_8B21_11D0_BBF1_0020AF29375F_.wvu.Cols" hidden="1">#REF!</definedName>
    <definedName name="Z_D2C43519_8B21_11D0_BBF1_0020AF29375F_.wvu.Cols" hidden="1">#REF!,#REF!</definedName>
    <definedName name="Z_D2C4351A_8B21_11D0_BBF1_0020AF29375F_.wvu.Cols" hidden="1">#REF!,#REF!</definedName>
    <definedName name="Z_D2C43522_8B21_11D0_BBF1_0020AF29375F_.wvu.Cols" hidden="1">#REF!,#REF!</definedName>
    <definedName name="Z_D2C43524_8B21_11D0_BBF1_0020AF29375F_.wvu.Cols" hidden="1">#REF!</definedName>
    <definedName name="Z_D2C43527_8B21_11D0_BBF1_0020AF29375F_.wvu.Cols" hidden="1">#REF!</definedName>
    <definedName name="Z_D2C43529_8B21_11D0_BBF1_0020AF29375F_.wvu.Cols" hidden="1">#REF!</definedName>
    <definedName name="Z_D2C43531_8B21_11D0_BBF1_0020AF29375F_.wvu.Cols" hidden="1">#REF!,#REF!</definedName>
    <definedName name="Z_D2C43532_8B21_11D0_BBF1_0020AF29375F_.wvu.Cols" hidden="1">#REF!,#REF!</definedName>
    <definedName name="Z_D33463D8_B4A5_4DE4_B640_CAF7C4299D90_.wvu.FilterData" hidden="1">#REF!</definedName>
    <definedName name="Z_D4FBBAF2_ED2F_11D4_A6F7_00508B6540C5_.wvu.FilterData" hidden="1">#REF!</definedName>
    <definedName name="Z_D6830399_E8F9_4A93_AD4C_0F373575B429_.wvu.FilterData" hidden="1">#REF!</definedName>
    <definedName name="Z_D77BD545_7453_49A9_86C7_0D8CE7EAA505_.wvu.FilterData" hidden="1">#REF!</definedName>
    <definedName name="Z_D77D0312_A3FB_11D4_AE16_000102085CC3_.wvu.PrintArea" hidden="1">#REF!</definedName>
    <definedName name="Z_D7F87DB1_1990_4C3B_B971_3A6FA5D118CD_.wvu.FilterData" hidden="1">#REF!</definedName>
    <definedName name="Z_D8642325_9460_4501_938F_B70C469BB94C_.wvu.FilterData" hidden="1">#REF!</definedName>
    <definedName name="Z_D9E68341_C2F0_11D5_A6F7_00508B6540C5_.wvu.Cols" hidden="1">#REF!,#REF!,#REF!</definedName>
    <definedName name="Z_D9E68341_C2F0_11D5_A6F7_00508B6540C5_.wvu.FilterData" hidden="1">#REF!</definedName>
    <definedName name="Z_D9E68341_C2F0_11D5_A6F7_00508B6540C5_.wvu.PrintArea" hidden="1">#REF!</definedName>
    <definedName name="Z_D9E68341_C2F0_11D5_A6F7_00508B6540C5_.wvu.PrintTitles" hidden="1">#REF!</definedName>
    <definedName name="Z_D9E68341_C2F0_11D5_A6F7_00508B6540C5_.wvu.Rows" hidden="1">#REF!</definedName>
    <definedName name="Z_DB5E2E10_5DC2_40A7_BA2F_BA4FCB2CBC8C_.wvu.FilterData" hidden="1">#REF!</definedName>
    <definedName name="Z_DB6923EA_4BB0_4B7E_AA47_83C7BF949F2A_.wvu.FilterData" hidden="1">#REF!</definedName>
    <definedName name="Z_DB98C602_A4A4_4B70_9ED4_358D78C2BD5B_.wvu.FilterData" hidden="1">#REF!</definedName>
    <definedName name="Z_DCEF54AB_2F3C_4138_9518_0AF912DE68F1_.wvu.FilterData" hidden="1">#REF!</definedName>
    <definedName name="Z_DD0EE640_D13F_4234_9EE5_3AFCE632A5F2_.wvu.FilterData" hidden="1">#REF!</definedName>
    <definedName name="Z_DF5C41E4_E0D7_11D0_BBF1_0020AF29375F_.wvu.Cols" hidden="1">#REF!,#REF!</definedName>
    <definedName name="Z_DF5C41E6_E0D7_11D0_BBF1_0020AF29375F_.wvu.Cols" hidden="1">#REF!</definedName>
    <definedName name="Z_DF5C41E9_E0D7_11D0_BBF1_0020AF29375F_.wvu.Cols" hidden="1">#REF!</definedName>
    <definedName name="Z_DF5C41EB_E0D7_11D0_BBF1_0020AF29375F_.wvu.Cols" hidden="1">#REF!</definedName>
    <definedName name="Z_DF5C41F3_E0D7_11D0_BBF1_0020AF29375F_.wvu.Cols" hidden="1">#REF!,#REF!</definedName>
    <definedName name="Z_DF5C41F4_E0D7_11D0_BBF1_0020AF29375F_.wvu.Cols" hidden="1">#REF!,#REF!</definedName>
    <definedName name="Z_DF5C41FC_E0D7_11D0_BBF1_0020AF29375F_.wvu.Cols" hidden="1">#REF!,#REF!</definedName>
    <definedName name="Z_DF5C41FE_E0D7_11D0_BBF1_0020AF29375F_.wvu.Cols" hidden="1">#REF!</definedName>
    <definedName name="Z_DF5C4201_E0D7_11D0_BBF1_0020AF29375F_.wvu.Cols" hidden="1">#REF!</definedName>
    <definedName name="Z_DF5C4203_E0D7_11D0_BBF1_0020AF29375F_.wvu.Cols" hidden="1">#REF!</definedName>
    <definedName name="Z_DF5C420B_E0D7_11D0_BBF1_0020AF29375F_.wvu.Cols" hidden="1">#REF!,#REF!</definedName>
    <definedName name="Z_DF5C420C_E0D7_11D0_BBF1_0020AF29375F_.wvu.Cols" hidden="1">#REF!,#REF!</definedName>
    <definedName name="Z_DF9ECF1C_04DF_11D1_B623_0020AF49B783_.wvu.Cols" hidden="1">#REF!,#REF!</definedName>
    <definedName name="Z_DF9ECF1E_04DF_11D1_B623_0020AF49B783_.wvu.Cols" hidden="1">#REF!</definedName>
    <definedName name="Z_DF9ECF21_04DF_11D1_B623_0020AF49B783_.wvu.Cols" hidden="1">#REF!</definedName>
    <definedName name="Z_DF9ECF23_04DF_11D1_B623_0020AF49B783_.wvu.Cols" hidden="1">#REF!</definedName>
    <definedName name="Z_DF9ECF2B_04DF_11D1_B623_0020AF49B783_.wvu.Cols" hidden="1">#REF!,#REF!</definedName>
    <definedName name="Z_DF9ECF2C_04DF_11D1_B623_0020AF49B783_.wvu.Cols" hidden="1">#REF!,#REF!</definedName>
    <definedName name="Z_DF9ECF34_04DF_11D1_B623_0020AF49B783_.wvu.Cols" hidden="1">#REF!,#REF!</definedName>
    <definedName name="Z_DF9ECF36_04DF_11D1_B623_0020AF49B783_.wvu.Cols" hidden="1">#REF!</definedName>
    <definedName name="Z_DF9ECF39_04DF_11D1_B623_0020AF49B783_.wvu.Cols" hidden="1">#REF!</definedName>
    <definedName name="Z_DF9ECF3B_04DF_11D1_B623_0020AF49B783_.wvu.Cols" hidden="1">#REF!</definedName>
    <definedName name="Z_DF9ECF43_04DF_11D1_B623_0020AF49B783_.wvu.Cols" hidden="1">#REF!,#REF!</definedName>
    <definedName name="Z_DF9ECF44_04DF_11D1_B623_0020AF49B783_.wvu.Cols" hidden="1">#REF!,#REF!</definedName>
    <definedName name="Z_DFA9743D_F3CE_4CF4_8864_78598D0D751C_.wvu.FilterData" hidden="1">#REF!</definedName>
    <definedName name="Z_DFE430D0_DD4E_4E40_B190_19BEE9AD0CBC_.wvu.FilterData" hidden="1">#REF!</definedName>
    <definedName name="Z_E024B424_A961_11D3_8654_006097109096_.wvu.Cols" hidden="1">#REF!</definedName>
    <definedName name="Z_E024B424_A961_11D3_8654_006097109096_.wvu.Rows" hidden="1">#REF!,#REF!</definedName>
    <definedName name="Z_E1613060_5D8A_11D4_8C45_00C04F9DFD0B_.wvu.Cols" hidden="1">#REF!</definedName>
    <definedName name="Z_E2547EDD_D29F_4DEE_98C5_A9AA79B5E613_.wvu.FilterData" hidden="1">#REF!</definedName>
    <definedName name="Z_E2C65143_69A2_485E_A5A9_A73E7B294DEF_.wvu.FilterData" hidden="1">#REF!</definedName>
    <definedName name="Z_E3DB78BC_F847_4E0A_8AF3_61B1B9D963F4_.wvu.Cols" hidden="1">#REF!</definedName>
    <definedName name="Z_E3DB78BC_F847_4E0A_8AF3_61B1B9D963F4_.wvu.PrintArea" hidden="1">#REF!</definedName>
    <definedName name="Z_E3DB78BC_F847_4E0A_8AF3_61B1B9D963F4_.wvu.PrintTitles" hidden="1">#REF!</definedName>
    <definedName name="Z_E5501061_AD96_11D4_8017_0050042B95CA_.wvu.Rows" hidden="1">#REF!,#REF!,#REF!,#REF!,#REF!,#REF!,#REF!,#REF!,#REF!,#REF!,#REF!,#REF!,#REF!,#REF!,#REF!,#REF!</definedName>
    <definedName name="Z_E62B5FDD_E3DE_49E6_BA80_5948A7E0F370_.wvu.FilterData" hidden="1">#REF!</definedName>
    <definedName name="Z_E65CFA7E_41DA_408C_A2AF_C9D9D211D253_.wvu.FilterData" hidden="1">#REF!</definedName>
    <definedName name="Z_E716EB83_6184_4934_AC9A_F207DFF8271C_.wvu.FilterData" hidden="1">#REF!</definedName>
    <definedName name="Z_E8DA1088_1B70_45BC_9580_AB21C9779799_.wvu.FilterData" hidden="1">#REF!</definedName>
    <definedName name="Z_EA132528_EA87_4E89_88E7_B910C8737820_.wvu.FilterData" hidden="1">#REF!</definedName>
    <definedName name="Z_EACA5552_6A11_454F_9370_90ABEB10D353_.wvu.FilterData" hidden="1">#REF!</definedName>
    <definedName name="Z_EAD327E5_03D5_4FE6_B20C_6C8F8ED20FDA_.wvu.FilterData" hidden="1">#REF!</definedName>
    <definedName name="Z_EC0806A7_F8A5_4AB0_9843_BEFEA068EF84_.wvu.FilterData" hidden="1">#REF!</definedName>
    <definedName name="Z_EC3BDFDA_32DB_46B4_9DB8_447FB9651E99_.wvu.FilterData" hidden="1">#REF!</definedName>
    <definedName name="Z_EC73F126_448D_4348_A573_3BC24AC8795A_.wvu.FilterData" hidden="1">#REF!</definedName>
    <definedName name="Z_EE2FF224_EB99_4F66_89A5_BA724EA24427_.wvu.FilterData" hidden="1">#REF!</definedName>
    <definedName name="Z_EE59C669_DD06_4D54_A54F_AB6454CED5F7_.wvu.FilterData" hidden="1">#REF!</definedName>
    <definedName name="Z_EEB39A19_0FC3_44FD_AFD3_08049C71CA5C_.wvu.FilterData" hidden="1">#REF!</definedName>
    <definedName name="Z_EF0F7889_2C1E_4238_8B7B_8D0D4B99295B_.wvu.FilterData" hidden="1">#REF!</definedName>
    <definedName name="Z_F0BEE053_CC9E_4B75_A7ED_8354A3C87E6D_.wvu.FilterData" hidden="1">#REF!</definedName>
    <definedName name="Z_F1763C82_6D53_4E59_B1FD_6E1B32681758_.wvu.FilterData" hidden="1">#REF!</definedName>
    <definedName name="Z_F1CE2A21_7959_4814_864C_012B7B1A049F_.wvu.Rows" hidden="1">#REF!,#REF!,#REF!,#REF!,#REF!,#REF!,#REF!,#REF!,#REF!,#REF!,#REF!,#REF!,#REF!,#REF!</definedName>
    <definedName name="Z_F2091873_10D4_489F_B19B_F2EFD09E7524_.wvu.FilterData" hidden="1">#REF!</definedName>
    <definedName name="Z_F35BBA14_C940_4E05_8D2F_8EF2382BD8E9_.wvu.FilterData" hidden="1">#REF!</definedName>
    <definedName name="Z_F5472397_AB87_4C3E_BBAC_D236E75CBAD9_.wvu.PrintArea" hidden="1">#REF!</definedName>
    <definedName name="Z_F5472397_AB87_4C3E_BBAC_D236E75CBAD9_.wvu.PrintTitles" hidden="1">#REF!</definedName>
    <definedName name="Z_F6A8A1D4_2E27_4066_BF73_DF05C2A1BE54_.wvu.FilterData" hidden="1">#REF!</definedName>
    <definedName name="Z_F6F91436_DB8C_43B9_9601_ADA87F20DA85_.wvu.FilterData" hidden="1">#REF!</definedName>
    <definedName name="Z_F7EC073A_FA28_4888_85C9_5BD56DFEE134_.wvu.Cols" hidden="1">#REF!</definedName>
    <definedName name="Z_F7EC073A_FA28_4888_85C9_5BD56DFEE134_.wvu.PrintArea" hidden="1">#REF!</definedName>
    <definedName name="Z_F7EC073A_FA28_4888_85C9_5BD56DFEE134_.wvu.PrintTitles" hidden="1">#REF!,#REF!</definedName>
    <definedName name="Z_F7EC073A_FA28_4888_85C9_5BD56DFEE134_.wvu.Rows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Z_F9D42F6D_FBB8_4347_9609_09FB930659C7_.wvu.FilterData" hidden="1">#REF!</definedName>
    <definedName name="Z_FA249B36_5B5A_4A16_9895_DFF5A4371322_.wvu.FilterData" hidden="1">#REF!</definedName>
    <definedName name="Z_FA2BA62A_D02C_47A4_B101_F560E4F5A890_.wvu.FilterData" hidden="1">#REF!</definedName>
    <definedName name="Z_FAE2F684_3BFD_4D9A_A781_817E0C770D03_.wvu.FilterData" hidden="1">#REF!</definedName>
    <definedName name="Z_FB4DC09B_2939_4303_BE5F_7A353FD7CA56_.wvu.FilterData" hidden="1">#REF!</definedName>
    <definedName name="Z_FC427945_E8B9_49DE_B33F_26AB41D0E938_.wvu.PrintArea" hidden="1">#REF!</definedName>
    <definedName name="Z_FC427945_E8B9_49DE_B33F_26AB41D0E938_.wvu.PrintTitles" hidden="1">#REF!</definedName>
    <definedName name="Z_FDFE196D_A0B5_11D4_A1E3_00104B4B3CB3_.wvu.PrintArea" hidden="1">#REF!</definedName>
    <definedName name="Z_FE37EC85_783C_4815_9F7A_51E451811F1B_.wvu.Cols" hidden="1">#REF!</definedName>
    <definedName name="Z_FE37EC85_783C_4815_9F7A_51E451811F1B_.wvu.FilterData" hidden="1">#REF!</definedName>
    <definedName name="Z_FE37EC85_783C_4815_9F7A_51E451811F1B_.wvu.PrintArea" hidden="1">#REF!</definedName>
    <definedName name="Z_FE37EC85_783C_4815_9F7A_51E451811F1B_.wvu.Rows" hidden="1">#REF!,#REF!,#REF!</definedName>
    <definedName name="Z_FE91E8DA_1017_4CBC_AA5E_26CB5F0FC9EA_.wvu.FilterData" hidden="1">#REF!</definedName>
    <definedName name="Z_FEC78678_1464_4166_9FC6_867AD5962476_.wvu.FilterData" hidden="1">#REF!</definedName>
    <definedName name="Z_MessPrice">#REF!</definedName>
    <definedName name="Z_Zahl">#REF!</definedName>
    <definedName name="Z_Zahl_LE">#REF!</definedName>
    <definedName name="Z_Zahl_LPTI">#REF!</definedName>
    <definedName name="Zaikinskaya_Excise">NA()</definedName>
    <definedName name="Zaikinskaya_Excise_1">"$#ССЫЛ!.$E$456:$E$476"</definedName>
    <definedName name="zaq" hidden="1">{"План продаж",#N/A,FALSE,"товар"}</definedName>
    <definedName name="ZAR">#REF!</definedName>
    <definedName name="zc" hidden="1">#REF!</definedName>
    <definedName name="zdf" hidden="1">{"Прибыль инстр",#N/A,FALSE,"Инстр"}</definedName>
    <definedName name="ZEILE_ERSTE">#REF!</definedName>
    <definedName name="ZEILE_ERSTEB500">#REF!</definedName>
    <definedName name="ZEILE_LETZTE">#REF!</definedName>
    <definedName name="Zeitfaktoren">#REF!</definedName>
    <definedName name="ZFormat1">#REF!,#REF!,#REF!,#REF!,#REF!,#REF!,#REF!,#REF!,#REF!,#REF!</definedName>
    <definedName name="ZFormat2">#REF!,#REF!</definedName>
    <definedName name="zona">#REF!</definedName>
    <definedName name="zone">#REF!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wed" hidden="1">#REF!</definedName>
    <definedName name="zx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zxc">#REF!</definedName>
    <definedName name="ZYX">#REF!</definedName>
    <definedName name="ZZZ">#REF!</definedName>
    <definedName name="zzzzzz" hidden="1">{#N/A,#N/A,TRUE,"COVER";#N/A,#N/A,TRUE,"DETAILS";#N/A,#N/A,TRUE,"SUMMARY";#N/A,#N/A,TRUE,"EXP MON";#N/A,#N/A,TRUE,"APPENDIX A";#N/A,#N/A,TRUE,"APPENDIX B";#N/A,#N/A,TRUE,"APPENDIX C";#N/A,#N/A,TRUE,"APPENDIX D";#N/A,#N/A,TRUE,"APPENDIX E";#N/A,#N/A,TRUE,"APPENDIX F";#N/A,#N/A,TRUE,"APPENDIX G"}</definedName>
    <definedName name="ZZZZZZZ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А" hidden="1">#REF!</definedName>
    <definedName name="А1">#REF!</definedName>
    <definedName name="А4">#REF!</definedName>
    <definedName name="А5">#REF!</definedName>
    <definedName name="а55" hidden="1">#REF!</definedName>
    <definedName name="А95">#REF!</definedName>
    <definedName name="аа" hidden="1">{#N/A,#N/A,TRUE,"Engineering Dept";#N/A,#N/A,TRUE,"Sales Dept";#N/A,#N/A,TRUE,"Marketing Dept";#N/A,#N/A,TRUE,"Admin Dept"}</definedName>
    <definedName name="аа12" hidden="1">#REF!</definedName>
    <definedName name="аа3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ааа" hidden="1">{#N/A,#N/A,FALSE,"Aging Summary";#N/A,#N/A,FALSE,"Ratio Analysis";#N/A,#N/A,FALSE,"Test 120 Day Accts";#N/A,#N/A,FALSE,"Tickmarks"}</definedName>
    <definedName name="аааа" hidden="1">#REF!</definedName>
    <definedName name="ааааа" hidden="1">{"Товар.выработка без продаж",#N/A,FALSE,"товар"}</definedName>
    <definedName name="ааааа2" hidden="1">{#N/A,#N/A,TRUE,"Буржуям"}</definedName>
    <definedName name="ааааааааааааааа" hidden="1">#REF!</definedName>
    <definedName name="аавваав" hidden="1">#REF!</definedName>
    <definedName name="ааппп" hidden="1">{"Valuation_Common",#N/A,FALSE,"Valuation"}</definedName>
    <definedName name="аар" hidden="1">#REF!</definedName>
    <definedName name="АБК_1">#REF!</definedName>
    <definedName name="АБК_1___0">#REF!</definedName>
    <definedName name="АБК_1___1">#REF!</definedName>
    <definedName name="АБК_1___10">#REF!</definedName>
    <definedName name="АБК_1___11">#REF!</definedName>
    <definedName name="АБК_1___12">#REF!</definedName>
    <definedName name="АБК_1___13">#REF!</definedName>
    <definedName name="АБК_1___14">#REF!</definedName>
    <definedName name="АБК_1___2">#REF!</definedName>
    <definedName name="АБК_1___3">#REF!</definedName>
    <definedName name="АБК_1___4">#REF!</definedName>
    <definedName name="АБК_1___5">#REF!</definedName>
    <definedName name="АБК_1___6">#REF!</definedName>
    <definedName name="АБК_1___7">#REF!</definedName>
    <definedName name="АБК_1___8">#REF!</definedName>
    <definedName name="АБК_1___9">#REF!</definedName>
    <definedName name="АБК_2">#REF!</definedName>
    <definedName name="АБК_2___0">#REF!</definedName>
    <definedName name="АБК_2___1">#REF!</definedName>
    <definedName name="АБК_2___10">#REF!</definedName>
    <definedName name="АБК_2___12">#REF!</definedName>
    <definedName name="АБК_2___13">#REF!</definedName>
    <definedName name="АБК_2___14">#REF!</definedName>
    <definedName name="АБК_2___2">#REF!</definedName>
    <definedName name="АБК_2___3">#REF!</definedName>
    <definedName name="АБК_2___4">#REF!</definedName>
    <definedName name="АБК_2___5">#REF!</definedName>
    <definedName name="АБК_2___6">#REF!</definedName>
    <definedName name="АБК_2___7">#REF!</definedName>
    <definedName name="АБК_2___8">#REF!</definedName>
    <definedName name="АБК_2___9">#REF!</definedName>
    <definedName name="АБК_4">#REF!</definedName>
    <definedName name="АБК_4___0">#REF!</definedName>
    <definedName name="АБК_4___1">#REF!</definedName>
    <definedName name="АБК_4___10">#REF!</definedName>
    <definedName name="АБК_4___12">#REF!</definedName>
    <definedName name="АБК_4___13">#REF!</definedName>
    <definedName name="АБК_4___14">#REF!</definedName>
    <definedName name="АБК_4___2">#REF!</definedName>
    <definedName name="АБК_4___3">#REF!</definedName>
    <definedName name="АБК_4___4">#REF!</definedName>
    <definedName name="АБК_4___5">#REF!</definedName>
    <definedName name="АБК_4___6">#REF!</definedName>
    <definedName name="АБК_4___7">#REF!</definedName>
    <definedName name="АБК_4___8">#REF!</definedName>
    <definedName name="АБК_4___9">#REF!</definedName>
    <definedName name="ав" hidden="1">{#N/A,#N/A,FALSE,"Aging Summary";#N/A,#N/A,FALSE,"Ratio Analysis";#N/A,#N/A,FALSE,"Test 120 Day Accts";#N/A,#N/A,FALSE,"Tickmarks"}</definedName>
    <definedName name="аввы32" hidden="1">#REF!</definedName>
    <definedName name="август" hidden="1">{"баланс",#N/A,TRUE,"Баланс  на  декабрь"}</definedName>
    <definedName name="авепо" hidden="1">{"Valuation_Common",#N/A,FALSE,"Valuation"}</definedName>
    <definedName name="авпрвенорен" hidden="1">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,#REF!</definedName>
    <definedName name="авс" hidden="1">#REF!</definedName>
    <definedName name="авы" hidden="1">{#N/A,#N/A,FALSE,"ZAP_FEB.XLS "}</definedName>
    <definedName name="агнл" hidden="1">{"баланс",#N/A,TRUE,"Баланс  на  декабрь"}</definedName>
    <definedName name="ада" hidden="1">{"print95",#N/A,FALSE,"1995E.XLS";"print96",#N/A,FALSE,"1996E.XLS"}</definedName>
    <definedName name="Адбанка">#REF!</definedName>
    <definedName name="Адбанка1">#REF!</definedName>
    <definedName name="Адрес">#REF!</definedName>
    <definedName name="Адрес1">#REF!</definedName>
    <definedName name="аекодфоа" hidden="1">{"IASBS",#N/A,TRUE,"IAS";"IASPL",#N/A,TRUE,"IAS";"IASNotes",#N/A,TRUE,"IAS";"CFDir - expanded",#N/A,TRUE,"CF DIR"}</definedName>
    <definedName name="аервно" hidden="1">{"баланс",#N/A,TRUE,"Баланс  на  декабрь"}</definedName>
    <definedName name="АЗС">#REF!</definedName>
    <definedName name="АЗС___0">#REF!</definedName>
    <definedName name="АЗС___1">#REF!</definedName>
    <definedName name="АЗС___10">#REF!</definedName>
    <definedName name="АЗС___11">#REF!</definedName>
    <definedName name="АЗС___12">#REF!</definedName>
    <definedName name="АЗС___13">#REF!</definedName>
    <definedName name="АЗС___14">#REF!</definedName>
    <definedName name="АЗС___2">#REF!</definedName>
    <definedName name="АЗС___3">#REF!</definedName>
    <definedName name="АЗС___4">#REF!</definedName>
    <definedName name="АЗС___5">#REF!</definedName>
    <definedName name="АЗС___6">#REF!</definedName>
    <definedName name="АЗС___7">#REF!</definedName>
    <definedName name="АЗС___8">#REF!</definedName>
    <definedName name="АЗС___9">#REF!</definedName>
    <definedName name="АК_МАРТ_04" hidden="1">{#N/A,#N/A,FALSE,"Aging Summary";#N/A,#N/A,FALSE,"Ratio Analysis";#N/A,#N/A,FALSE,"Test 120 Day Accts";#N/A,#N/A,FALSE,"Tickmarks"}</definedName>
    <definedName name="акнгеакг" hidden="1">{"План продаж",#N/A,FALSE,"товар"}</definedName>
    <definedName name="акор" hidden="1">{"баланс",#N/A,TRUE,"Баланс  на  декабрь"}</definedName>
    <definedName name="Актив_Пассив_с1">#REF!</definedName>
    <definedName name="Акциз1">#REF!</definedName>
    <definedName name="аларолар" hidden="1">#REF!</definedName>
    <definedName name="Алексеевское" hidden="1">{"NWN_Q1810",#N/A,FALSE,"Q1810_1.V";"NWN_Q1412",#N/A,FALSE,"Q1412_1"}</definedName>
    <definedName name="Алексеевское_1" hidden="1">{"NWN_Q1810",#N/A,FALSE,"Q1810_1.V";"NWN_Q1412",#N/A,FALSE,"Q1412_1"}</definedName>
    <definedName name="амааа" hidden="1">{#N/A,#N/A,TRUE,"Лист1";#N/A,#N/A,TRUE,"Лист2";#N/A,#N/A,TRUE,"Лист3"}</definedName>
    <definedName name="амеба" hidden="1">{"баланс",#N/A,TRUE,"Баланс  на  декабрь"}</definedName>
    <definedName name="аморт_нов_завод">#REF!</definedName>
    <definedName name="аморт_стар_завод2007">#REF!</definedName>
    <definedName name="аморт_стар_завод2011">#REF!</definedName>
    <definedName name="амортиз">#REF!</definedName>
    <definedName name="ан" hidden="1">{#N/A,#N/A,FALSE,"1996";#N/A,#N/A,FALSE,"1995";#N/A,#N/A,FALSE,"1994"}</definedName>
    <definedName name="Анал_балан_с1">#REF!</definedName>
    <definedName name="Анализ">#REF!</definedName>
    <definedName name="ао">#REF!,#REF!,#REF!</definedName>
    <definedName name="АО_АК_03.04Г" hidden="1">{#N/A,#N/A,FALSE,"Aging Summary";#N/A,#N/A,FALSE,"Ratio Analysis";#N/A,#N/A,FALSE,"Test 120 Day Accts";#N/A,#N/A,FALSE,"Tickmarks"}</definedName>
    <definedName name="АО_АК_1.04.04г" hidden="1">{#N/A,#N/A,FALSE,"Aging Summary";#N/A,#N/A,FALSE,"Ratio Analysis";#N/A,#N/A,FALSE,"Test 120 Day Accts";#N/A,#N/A,FALSE,"Tickmarks"}</definedName>
    <definedName name="АО_АК_МАРТ" hidden="1">{#N/A,#N/A,FALSE,"Aging Summary";#N/A,#N/A,FALSE,"Ratio Analysis";#N/A,#N/A,FALSE,"Test 120 Day Accts";#N/A,#N/A,FALSE,"Tickmarks"}</definedName>
    <definedName name="аоао" hidden="1">#REF!</definedName>
    <definedName name="аоворпдорп" hidden="1">#REF!</definedName>
    <definedName name="аоларларл" hidden="1">#REF!</definedName>
    <definedName name="аочрч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ап" hidden="1">#REF!</definedName>
    <definedName name="апавпварва" hidden="1">#REF!</definedName>
    <definedName name="апарпа" hidden="1">#REF!</definedName>
    <definedName name="апв" hidden="1">{"План товар",#N/A,FALSE,"товар"}</definedName>
    <definedName name="апвры" hidden="1">{#N/A,#N/A,FALSE,"earnings"}</definedName>
    <definedName name="апер" hidden="1">{"'Sheet1'!$A$1:$G$96","'Sheet1'!$A$1:$H$96"}</definedName>
    <definedName name="аппрр" hidden="1">{"Valuation_Common",#N/A,FALSE,"Valuation"}</definedName>
    <definedName name="апр" hidden="1">{"баланс",#N/A,TRUE,"Баланс  на  декабрь"}</definedName>
    <definedName name="апрапропопр" hidden="1">#N/A</definedName>
    <definedName name="Апрель" localSheetId="0" hidden="1">Main.SAPF4Help()</definedName>
    <definedName name="Апрель" localSheetId="2" hidden="1">Main.SAPF4Help()</definedName>
    <definedName name="Апрель" localSheetId="1" hidden="1">Main.SAPF4Help()</definedName>
    <definedName name="Апрель" hidden="1">Main.SAPF4Help()</definedName>
    <definedName name="апро" hidden="1">#REF!</definedName>
    <definedName name="ар" hidden="1">{"Товар.выработка без продаж",#N/A,FALSE,"товар"}</definedName>
    <definedName name="ар_ставка_офис" hidden="1">{"Inflation-BaseYear",#N/A,FALSE,"Inputs"}</definedName>
    <definedName name="АР1" hidden="1">#N/A</definedName>
    <definedName name="Аренда" hidden="1">{"Товар.выработка без продаж",#N/A,FALSE,"товар"}</definedName>
    <definedName name="арлр" hidden="1">#REF!</definedName>
    <definedName name="аро" hidden="1">{"План продаж",#N/A,FALSE,"товар"}</definedName>
    <definedName name="арп" hidden="1">{"'Sheet1'!$A$12:$K$107"}</definedName>
    <definedName name="арпар">#REF!</definedName>
    <definedName name="артнрн" hidden="1">{"баланс",#N/A,TRUE,"Баланс  на  декабрь"}</definedName>
    <definedName name="АСДМ" hidden="1">#REF!</definedName>
    <definedName name="ацуек4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Ачинск" hidden="1">{#N/A,#N/A,FALSE,"Hip.Bas";#N/A,#N/A,FALSE,"ventas";#N/A,#N/A,FALSE,"ingre-Año";#N/A,#N/A,FALSE,"ventas-Año";#N/A,#N/A,FALSE,"Costepro";#N/A,#N/A,FALSE,"inversion";#N/A,#N/A,FALSE,"personal";#N/A,#N/A,FALSE,"Gastos-V";#N/A,#N/A,FALSE,"Circulante";#N/A,#N/A,FALSE,"CONSOLI";#N/A,#N/A,FALSE,"Es-Fin";#N/A,#N/A,FALSE,"Margen-P"}</definedName>
    <definedName name="ашвщ">#REF!</definedName>
    <definedName name="аыв" hidden="1">#REF!</definedName>
    <definedName name="аывы" hidden="1">#REF!</definedName>
    <definedName name="б" hidden="1">{"План продаж",#N/A,FALSE,"товар"}</definedName>
    <definedName name="База" hidden="1">#REF!</definedName>
    <definedName name="_xlnm.Database">#REF!</definedName>
    <definedName name="Балимела" hidden="1">{"PRINTME",#N/A,FALSE,"FINAL-10"}</definedName>
    <definedName name="ББ___1">#REF!</definedName>
    <definedName name="ББ___10">#REF!</definedName>
    <definedName name="ББ___11">#REF!</definedName>
    <definedName name="ББ___12">#REF!</definedName>
    <definedName name="ББ___13">#REF!</definedName>
    <definedName name="ББ___14">#REF!</definedName>
    <definedName name="ББ___2">#REF!</definedName>
    <definedName name="ББ___3">#REF!</definedName>
    <definedName name="ББ___4">#REF!</definedName>
    <definedName name="ББ___5">#REF!</definedName>
    <definedName name="ББ___6">#REF!</definedName>
    <definedName name="ББ___7">#REF!</definedName>
    <definedName name="ББ___9">#REF!</definedName>
    <definedName name="ббб" hidden="1">{"NWN_Q1810",#N/A,FALSE,"Q1810_1.V";"NWN_Q1412",#N/A,FALSE,"Q1412_1"}</definedName>
    <definedName name="ббб_1" hidden="1">{"NWN_Q1810",#N/A,FALSE,"Q1810_1.V";"NWN_Q1412",#N/A,FALSE,"Q1412_1"}</definedName>
    <definedName name="ББФ">#REF!</definedName>
    <definedName name="БГ" hidden="1">#REF!</definedName>
    <definedName name="бд" hidden="1">{#N/A,#N/A,FALSE,"ZAP_FEB.XLS "}</definedName>
    <definedName name="БДР" hidden="1">{"Товар.выработка без продаж",#N/A,FALSE,"товар"}</definedName>
    <definedName name="БДР3" hidden="1">#REF!</definedName>
    <definedName name="БЕ">#REF!</definedName>
    <definedName name="белкам" hidden="1">{"NWN_Q1810",#N/A,FALSE,"Q1810_1.V";"NWN_Q1412",#N/A,FALSE,"Q1412_1"}</definedName>
    <definedName name="белкам_1" hidden="1">{"NWN_Q1810",#N/A,FALSE,"Q1810_1.V";"NWN_Q1412",#N/A,FALSE,"Q1412_1"}</definedName>
    <definedName name="белкамнефть" hidden="1">{"NWN_Q1810",#N/A,FALSE,"Q1810_1.V";"NWN_Q1412",#N/A,FALSE,"Q1412_1"}</definedName>
    <definedName name="белкамнефть_1" hidden="1">{"NWN_Q1810",#N/A,FALSE,"Q1810_1.V";"NWN_Q1412",#N/A,FALSE,"Q1412_1"}</definedName>
    <definedName name="Белоруссия">#REF!</definedName>
    <definedName name="Белоруссия__Мозырь">#REF!</definedName>
    <definedName name="Белоруссия__НАФТАН">#REF!</definedName>
    <definedName name="Белоруссия__прочие">#REF!</definedName>
    <definedName name="бензин">#REF!</definedName>
    <definedName name="бибр" hidden="1">#REF!</definedName>
    <definedName name="бизнес">#REF!</definedName>
    <definedName name="бкурение">#REF!</definedName>
    <definedName name="бл" hidden="1">#REF!</definedName>
    <definedName name="благоустройство_скв">#REF!</definedName>
    <definedName name="благоустройство_скв___0">#REF!</definedName>
    <definedName name="благоустройство_скв___8">#REF!</definedName>
    <definedName name="блок">#REF!</definedName>
    <definedName name="БНГ">#REF!</definedName>
    <definedName name="БНГ___0">#REF!</definedName>
    <definedName name="БНГ___8">#REF!</definedName>
    <definedName name="боирбогги">#REF!</definedName>
    <definedName name="борт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рт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Босния">#REF!</definedName>
    <definedName name="БПГ">#REF!</definedName>
    <definedName name="БПО">#REF!</definedName>
    <definedName name="БПО___0">#REF!</definedName>
    <definedName name="БПО___1">#REF!</definedName>
    <definedName name="БПО___10">#REF!</definedName>
    <definedName name="БПО___11">#REF!</definedName>
    <definedName name="БПО___12">#REF!</definedName>
    <definedName name="БПО___13">#REF!</definedName>
    <definedName name="БПО___14">#REF!</definedName>
    <definedName name="БПО___2">#REF!</definedName>
    <definedName name="БПО___3">#REF!</definedName>
    <definedName name="БПО___4">#REF!</definedName>
    <definedName name="БПО___5">#REF!</definedName>
    <definedName name="БПО___6">#REF!</definedName>
    <definedName name="БПО___7">#REF!</definedName>
    <definedName name="БПО___8">#REF!</definedName>
    <definedName name="БПО___9">#REF!</definedName>
    <definedName name="бс">#REF!</definedName>
    <definedName name="Буг">#REF!</definedName>
    <definedName name="бурение">#REF!</definedName>
    <definedName name="бутадиен" hidden="1">{"Товар.выработка без продаж",#N/A,FALSE,"товар"}</definedName>
    <definedName name="бутан">#REF!</definedName>
    <definedName name="Бутинге">#REF!</definedName>
    <definedName name="Бутинге__Броды">#REF!</definedName>
    <definedName name="Бутинге__комб.">#REF!</definedName>
    <definedName name="Бутинге__Речица">#REF!</definedName>
    <definedName name="бык" hidden="1">{"Товар.выработка без продаж",#N/A,FALSE,"товар"}</definedName>
    <definedName name="бюджет" hidden="1">{#N/A,#N/A,TRUE,"Лист2"}</definedName>
    <definedName name="бюджетик" hidden="1">#REF!,#REF!</definedName>
    <definedName name="бюол" hidden="1">{"NWN_Q1810",#N/A,FALSE,"Q1810_1.V";"NWN_Q1412",#N/A,FALSE,"Q1412_1"}</definedName>
    <definedName name="в">#REF!</definedName>
    <definedName name="в_" hidden="1">{"Товар.выработка без продаж",#N/A,FALSE,"товар"}</definedName>
    <definedName name="в1" hidden="1">{"План товар",#N/A,FALSE,"товар"}</definedName>
    <definedName name="в2" hidden="1">{"'Sheet1'!$A$1:$G$96","'Sheet1'!$A$1:$H$96"}</definedName>
    <definedName name="ва" hidden="1">#REF!</definedName>
    <definedName name="ва5" hidden="1">{"План продаж",#N/A,FALSE,"товар"}</definedName>
    <definedName name="ваа" hidden="1">{"Equity Only",#N/A,FALSE,"NNGT1";"Equity Only",#N/A,FALSE,"NNT1";"Equity Only",#N/A,FALSE,"SNT1";"Equity Only",#N/A,FALSE,"BNT1";"Equity Only",#N/A,FALSE,"PNT1"}</definedName>
    <definedName name="вааа" hidden="1">{"Товар.выработка без продаж",#N/A,FALSE,"товар"}</definedName>
    <definedName name="ваавпапа" hidden="1">{#N/A,#N/A,TRUE,"Лист1";#N/A,#N/A,TRUE,"Лист2";#N/A,#N/A,TRUE,"Лист3"}</definedName>
    <definedName name="вава">#REF!</definedName>
    <definedName name="вавап" hidden="1">#REF!</definedName>
    <definedName name="Валюта">#REF!</definedName>
    <definedName name="вано" hidden="1">#REF!</definedName>
    <definedName name="ваня" hidden="1">#REF!,#REF!,#REF!,#REF!,#REF!,#REF!,#REF!</definedName>
    <definedName name="вап" hidden="1">{"баланс",#N/A,TRUE,"Баланс  на  декабрь"}</definedName>
    <definedName name="вап3" hidden="1">{"'Sheet1'!$A$1:$G$96","'Sheet1'!$A$1:$H$96"}</definedName>
    <definedName name="вапв" hidden="1">#REF!</definedName>
    <definedName name="вапрв" hidden="1">{#N/A,#N/A,FALSE,"ZAP_FEB.XLS "}</definedName>
    <definedName name="вапрвап" hidden="1">#REF!</definedName>
    <definedName name="вапро">#REF!</definedName>
    <definedName name="варо" localSheetId="0" hidden="1">Main.SAPF4Help()</definedName>
    <definedName name="варо" localSheetId="2" hidden="1">Main.SAPF4Help()</definedName>
    <definedName name="варо" localSheetId="1" hidden="1">Main.SAPF4Help()</definedName>
    <definedName name="варо" hidden="1">Main.SAPF4Help()</definedName>
    <definedName name="вафа">#REF!</definedName>
    <definedName name="вах">#REF!</definedName>
    <definedName name="ваыа" hidden="1">#REF!</definedName>
    <definedName name="ваыва">#REF!</definedName>
    <definedName name="ваывы">#REF!</definedName>
    <definedName name="ваырваро" localSheetId="0" hidden="1">Main.SAPF4Help()</definedName>
    <definedName name="ваырваро" localSheetId="2" hidden="1">Main.SAPF4Help()</definedName>
    <definedName name="ваырваро" localSheetId="1" hidden="1">Main.SAPF4Help()</definedName>
    <definedName name="ваырваро" hidden="1">Main.SAPF4Help()</definedName>
    <definedName name="вв" hidden="1">{"Товар.выработка без продаж",#N/A,FALSE,"товар"}</definedName>
    <definedName name="вв_" hidden="1">{"Товар.выработка без продаж",#N/A,FALSE,"товар"}</definedName>
    <definedName name="вва" hidden="1">{"баланс",#N/A,TRUE,"Баланс  на  декабрь"}</definedName>
    <definedName name="вва1" hidden="1">{"баланс",#N/A,TRUE,"Баланс  на  декабрь"}</definedName>
    <definedName name="ввв" hidden="1">{"Товар.выработка без продаж",#N/A,FALSE,"товар"}</definedName>
    <definedName name="вввв" hidden="1">{"NWN_Q1810",#N/A,FALSE,"Q1810_1.V";"NWN_Q1412",#N/A,FALSE,"Q1412_1"}</definedName>
    <definedName name="вввввввв" hidden="1">{"toc",#N/A,FALSE,"TOC";"summ",#N/A,FALSE,"summ";"histbs1",#N/A,FALSE,"histBS";"histbs2",#N/A,FALSE,"histBS";"histis",#N/A,FALSE,"histIS";"ratios",#N/A,FALSE,"ratios";"foris",#N/A,FALSE,"forIS";"forbs1",#N/A,FALSE,"forBS";"forbs2",#N/A,FALSE,"forBS";"cf",#N/A,FALSE,"CF";"wc",#N/A,FALSE,"wc";"own.str",#N/A,FALSE,"own.str";"fcf",#N/A,FALSE,"FCF";"wacc",#N/A,FALSE,"wacc";"r(f)",#N/A,FALSE,"r(f)";"glc",#N/A,FALSE,"GLC";"glcbs",#N/A,FALSE,"glcBS";"glccsbs",#N/A,FALSE,"glcCSBS";"glcis",#N/A,FALSE,"glcIS";"glccsis",#N/A,FALSE,"glcCSIS";"glcrat1",#N/A,FALSE,"glcrat1";"glcrat2",#N/A,FALSE,"glcrat2";"norm",#N/A,FALSE,"norm";"control",#N/A,FALSE,"control"}</definedName>
    <definedName name="вввввввввв" hidden="1">#REF!</definedName>
    <definedName name="вгегев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генгв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д">#REF!</definedName>
    <definedName name="вдв" hidden="1">#REF!</definedName>
    <definedName name="вдц">#REF!</definedName>
    <definedName name="веввве" hidden="1">{#N/A,#N/A,TRUE,"Лист1";#N/A,#N/A,TRUE,"Лист2";#N/A,#N/A,TRUE,"Лист3"}</definedName>
    <definedName name="вегвг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вегвег" hidden="1">{#N/A,#N/A,FALSE,"СВОД"}</definedName>
    <definedName name="вегвуеу" hidden="1">{#N/A,#N/A,FALSE,"СВОД"}</definedName>
    <definedName name="вегг" hidden="1">{#N/A,#N/A,FALSE,"СВОД"}</definedName>
    <definedName name="вегег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ен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енгрия">#REF!</definedName>
    <definedName name="Венгрия_контракт">#REF!</definedName>
    <definedName name="Венгрия_спот">#REF!</definedName>
    <definedName name="Венспилс__Херсон">#REF!</definedName>
    <definedName name="Вентспилс">#REF!</definedName>
    <definedName name="венш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вертолетка">#REF!</definedName>
    <definedName name="вертолетка___0">#REF!</definedName>
    <definedName name="вертолетка___8">#REF!</definedName>
    <definedName name="вес">#REF!</definedName>
    <definedName name="весмп">#REF!</definedName>
    <definedName name="взд" hidden="1">{"NWN_Q1810",#N/A,FALSE,"Q1810_1.V";"NWN_Q1412",#N/A,FALSE,"Q1412_1"}</definedName>
    <definedName name="взд_1" hidden="1">{"NWN_Q1810",#N/A,FALSE,"Q1810_1.V";"NWN_Q1412",#N/A,FALSE,"Q1412_1"}</definedName>
    <definedName name="ВЗиС">#REF!</definedName>
    <definedName name="Вид_цены">#REF!</definedName>
    <definedName name="видсс" hidden="1">{#N/A,#N/A,FALSE,"Себестоимсть-97"}</definedName>
    <definedName name="витя" hidden="1">{#N/A,#N/A,FALSE,"передел"}</definedName>
    <definedName name="вйц" localSheetId="0" hidden="1">Main.SAPF4Help()</definedName>
    <definedName name="вйц" localSheetId="2" hidden="1">Main.SAPF4Help()</definedName>
    <definedName name="вйц" localSheetId="1" hidden="1">Main.SAPF4Help()</definedName>
    <definedName name="вйц" hidden="1">Main.SAPF4Help()</definedName>
    <definedName name="ВЛ_6кВ">#REF!</definedName>
    <definedName name="ВЛ_6кВ___0">#REF!</definedName>
    <definedName name="ВЛ_6кВ_2">#REF!</definedName>
    <definedName name="ВЛ_6кВ_2___0">#REF!</definedName>
    <definedName name="вла" hidden="1">{#N/A,#N/A,FALSE,"Aging Summary";#N/A,#N/A,FALSE,"Ratio Analysis";#N/A,#N/A,FALSE,"Test 120 Day Accts";#N/A,#N/A,FALSE,"Tickmarks"}</definedName>
    <definedName name="влаорывжлпоырв" hidden="1">#REF!</definedName>
    <definedName name="вова" hidden="1">{#N/A,#N/A,FALSE,"передел"}</definedName>
    <definedName name="Возврат">#REF!</definedName>
    <definedName name="Воздух">#REF!</definedName>
    <definedName name="волфадлыопалфима" hidden="1">#REF!</definedName>
    <definedName name="вор" localSheetId="0" hidden="1">Main.SAPF4Help()</definedName>
    <definedName name="вор" localSheetId="2" hidden="1">Main.SAPF4Help()</definedName>
    <definedName name="вор" localSheetId="1" hidden="1">Main.SAPF4Help()</definedName>
    <definedName name="вор" hidden="1">Main.SAPF4Help()</definedName>
    <definedName name="вп">{0;0;0;0;1;1;0.25;0.25;0.25;0.25;2;FALSE;FALSE;FALSE;FALSE;FALSE;#N/A;1;#N/A;1;1;"";""}</definedName>
    <definedName name="вп5" hidden="1">{"План товар",#N/A,FALSE,"товар"}</definedName>
    <definedName name="впа" hidden="1">{"баланс",#N/A,TRUE,"Баланс  на  декабрь"}</definedName>
    <definedName name="впапавпвапва" hidden="1">#N/A</definedName>
    <definedName name="впв" hidden="1">{"Товар.выработка без продаж",#N/A,FALSE,"товар"}</definedName>
    <definedName name="ВР">#REF!</definedName>
    <definedName name="врам" hidden="1">#REF!</definedName>
    <definedName name="враыптыа" hidden="1">#REF!</definedName>
    <definedName name="врем">#REF!</definedName>
    <definedName name="вс" hidden="1">{#N/A,#N/A,FALSE,"Aging Summary";#N/A,#N/A,FALSE,"Ratio Analysis";#N/A,#N/A,FALSE,"Test 120 Day Accts";#N/A,#N/A,FALSE,"Tickmarks"}</definedName>
    <definedName name="Всего">#REF!</definedName>
    <definedName name="ВсегоПротяж">#REF!</definedName>
    <definedName name="всп." hidden="1">{"Прибыль инстр",#N/A,FALSE,"Инстр"}</definedName>
    <definedName name="ВСП.таб.2">#REF!</definedName>
    <definedName name="вспом.табл.">#REF!</definedName>
    <definedName name="втор">#REF!</definedName>
    <definedName name="Вторая_декада">#REF!</definedName>
    <definedName name="второй">#REF!</definedName>
    <definedName name="второйквартал" hidden="1">{"План продаж",#N/A,FALSE,"товар"}</definedName>
    <definedName name="второйквартал10" hidden="1">{"План товар",#N/A,FALSE,"товар"}</definedName>
    <definedName name="ву5еыц" hidden="1">{"Товар.выработка без продаж",#N/A,FALSE,"товар"}</definedName>
    <definedName name="вуув" hidden="1">{#N/A,#N/A,TRUE,"Лист1";#N/A,#N/A,TRUE,"Лист2";#N/A,#N/A,TRUE,"Лист3"}</definedName>
    <definedName name="вфы" hidden="1">{"Товар.выработка без продаж",#N/A,FALSE,"товар"}</definedName>
    <definedName name="вчфы" hidden="1">#REF!</definedName>
    <definedName name="вы" hidden="1">{"'Лист1'!$A$1:$W$63"}</definedName>
    <definedName name="выаывавы" hidden="1">{"Equity Only",#N/A,FALSE,"NNGT1";"Equity Only",#N/A,FALSE,"NNT1";"Equity Only",#N/A,FALSE,"SNT1";"Equity Only",#N/A,FALSE,"BNT1";"Equity Only",#N/A,FALSE,"PNT1"}</definedName>
    <definedName name="Выбор">#REF!</definedName>
    <definedName name="выввывы" hidden="1">#REF!</definedName>
    <definedName name="выработка" hidden="1">{"План продаж",#N/A,FALSE,"товар"}</definedName>
    <definedName name="выруч34">#REF!</definedName>
    <definedName name="выручка1" hidden="1">{"Прибыль СМЗ",#N/A,FALSE,"СМЗ"}</definedName>
    <definedName name="высл">#REF!</definedName>
    <definedName name="Высота1">#REF!</definedName>
    <definedName name="Высота2">#REF!</definedName>
    <definedName name="г" hidden="1">{"баланс",#N/A,TRUE,"Баланс  на  декабрь"}</definedName>
    <definedName name="г1" hidden="1">{"Товар.выработка без продаж",#N/A,FALSE,"товар"}</definedName>
    <definedName name="галя" hidden="1">{"Смета_Ц1",#N/A,FALSE,"Сметы_затрат_по_цехам"}</definedName>
    <definedName name="ГАН" hidden="1">{#N/A,#N/A,FALSE,"ZAP_FEB.XLS "}</definedName>
    <definedName name="гг" hidden="1">{"Товар.выработка без продаж",#N/A,FALSE,"товар"}</definedName>
    <definedName name="гггг" localSheetId="0" hidden="1">Main.SAPF4Help()</definedName>
    <definedName name="гггг" localSheetId="2" hidden="1">Main.SAPF4Help()</definedName>
    <definedName name="гггг" localSheetId="1" hidden="1">Main.SAPF4Help()</definedName>
    <definedName name="гггг" hidden="1">Main.SAPF4Help()</definedName>
    <definedName name="Гданьск">#REF!</definedName>
    <definedName name="ГДИС" hidden="1">{#N/A,#N/A,FALSE,"ZAP_FEB.XLS "}</definedName>
    <definedName name="Германия">#REF!</definedName>
    <definedName name="Гидравлика">#REF!</definedName>
    <definedName name="гнгнгнг" hidden="1">ROW(#REF!)</definedName>
    <definedName name="го">#REF!</definedName>
    <definedName name="год" localSheetId="0" hidden="1">Main.SAPF4Help()</definedName>
    <definedName name="год" localSheetId="2" hidden="1">Main.SAPF4Help()</definedName>
    <definedName name="год" localSheetId="1" hidden="1">Main.SAPF4Help()</definedName>
    <definedName name="год" hidden="1">Main.SAPF4Help()</definedName>
    <definedName name="Год_отчета">2004</definedName>
    <definedName name="Годовой_индекс_2000">#REF!</definedName>
    <definedName name="город.сети" hidden="1">{#N/A,#N/A,FALSE,"общепр.расх"}</definedName>
    <definedName name="господь" hidden="1">{"баланс",#N/A,TRUE,"Баланс  на  декабрь"}</definedName>
    <definedName name="гот">#REF!</definedName>
    <definedName name="готовая" hidden="1">#REF!</definedName>
    <definedName name="ГП">#REF!</definedName>
    <definedName name="гпш">#REF!</definedName>
    <definedName name="гр">#REF!</definedName>
    <definedName name="График">#REF!</definedName>
    <definedName name="грприрцфв00ав98" hidden="1">{#N/A,#N/A,TRUE,"Лист1";#N/A,#N/A,TRUE,"Лист2";#N/A,#N/A,TRUE,"Лист3"}</definedName>
    <definedName name="группа">#REF!</definedName>
    <definedName name="Группировка_по__виду_реализации">#REF!</definedName>
    <definedName name="грфинцкавг98Х" hidden="1">{#N/A,#N/A,TRUE,"Лист1";#N/A,#N/A,TRUE,"Лист2";#N/A,#N/A,TRUE,"Лист3"}</definedName>
    <definedName name="ГСМ">#REF!</definedName>
    <definedName name="гуманоиды" hidden="1">{"NWN_Q1810",#N/A,FALSE,"Q1810_1.V";"NWN_Q1412",#N/A,FALSE,"Q1412_1"}</definedName>
    <definedName name="ГФ" hidden="1">{"План продаж",#N/A,FALSE,"товар"}</definedName>
    <definedName name="гшн" localSheetId="0" hidden="1">Main.SAPF4Help()</definedName>
    <definedName name="гшн" localSheetId="2" hidden="1">Main.SAPF4Help()</definedName>
    <definedName name="гшн" localSheetId="1" hidden="1">Main.SAPF4Help()</definedName>
    <definedName name="гшн" hidden="1">Main.SAPF4Help()</definedName>
    <definedName name="д">#REF!</definedName>
    <definedName name="д.л.дДЖДЖ" hidden="1">#REF!</definedName>
    <definedName name="д0">#REF!</definedName>
    <definedName name="д1">#REF!</definedName>
    <definedName name="да">#REF!</definedName>
    <definedName name="дап">#REF!</definedName>
    <definedName name="Дата">"""___"" ____________ 2001 г."</definedName>
    <definedName name="Дата_изменения_группы_строек">#REF!</definedName>
    <definedName name="Дата_изменения_локальной_сметы">#REF!</definedName>
    <definedName name="Дата_изменения_объекта">#REF!</definedName>
    <definedName name="Дата_изменения_объектной_сметы">#REF!</definedName>
    <definedName name="Дата_изменения_очереди">#REF!</definedName>
    <definedName name="Дата_изменения_пускового_комплекса">#REF!</definedName>
    <definedName name="Дата_изменения_сводного_сметного_расчета">#REF!</definedName>
    <definedName name="Дата_изменения_стройки">#REF!</definedName>
    <definedName name="Дата_создания_группы_строек">#REF!</definedName>
    <definedName name="Дата_создания_локальной_сметы">#REF!</definedName>
    <definedName name="Дата_создания_объекта">#REF!</definedName>
    <definedName name="Дата_создания_объектной_сметы">#REF!</definedName>
    <definedName name="Дата_создания_очереди">#REF!</definedName>
    <definedName name="Дата_создания_пускового_комплекса">#REF!</definedName>
    <definedName name="Дата_создания_сводного_сметного_расчета">#REF!</definedName>
    <definedName name="Дата_создания_стройки">#REF!</definedName>
    <definedName name="дб.лдэ." hidden="1">#REF!</definedName>
    <definedName name="дбануы" hidden="1">#REF!</definedName>
    <definedName name="два" hidden="1">{"баланс",#N/A,TRUE,"Баланс  на  декабрь"}</definedName>
    <definedName name="движение" hidden="1">{#N/A,#N/A,TRUE,"Лист2"}</definedName>
    <definedName name="двроом" hidden="1">#REF!</definedName>
    <definedName name="дглп" hidden="1">{#N/A,#N/A,FALSE,"СВОД"}</definedName>
    <definedName name="дд" hidden="1">{#N/A,#N/A,FALSE,"ZAP_FEB.XLS "}</definedName>
    <definedName name="ддд" hidden="1">{"План продаж",#N/A,FALSE,"товар"}</definedName>
    <definedName name="ддддд" hidden="1">{"Товар.выработка без продаж",#N/A,FALSE,"товар"}</definedName>
    <definedName name="ддддддддд" hidden="1">{"Valuation_Common",#N/A,FALSE,"Valuation"}</definedName>
    <definedName name="деб.">#REF!</definedName>
    <definedName name="Дебиторы" hidden="1">{"print95",#N/A,FALSE,"1995E.XLS";"print96",#N/A,FALSE,"1996E.XLS"}</definedName>
    <definedName name="дед" hidden="1">#REF!</definedName>
    <definedName name="дек" hidden="1">{"План продаж",#N/A,FALSE,"товар"}</definedName>
    <definedName name="дек_" hidden="1">{"План продаж",#N/A,FALSE,"товар"}</definedName>
    <definedName name="декабрь" hidden="1">{#N/A,#N/A,FALSE,"ZAP_FEB.XLS "}</definedName>
    <definedName name="день" hidden="1">{"баланс",#N/A,TRUE,"Баланс  на  декабрь"}</definedName>
    <definedName name="деньги">#REF!</definedName>
    <definedName name="денюсик">#REF!</definedName>
    <definedName name="Дератиз.дезинф." hidden="1">#REF!</definedName>
    <definedName name="дефицит">#REF!</definedName>
    <definedName name="дж" hidden="1">{#N/A,#N/A,FALSE,"ZAP_FEB.XLS "}</definedName>
    <definedName name="джджждждждл" localSheetId="0" hidden="1">Scheduled_Payment+Extra_Payment</definedName>
    <definedName name="джджждждждл" localSheetId="2" hidden="1">Scheduled_Payment+Extra_Payment</definedName>
    <definedName name="джджждждждл" localSheetId="1" hidden="1">Scheduled_Payment+Extra_Payment</definedName>
    <definedName name="джджждждждл" hidden="1">Scheduled_Payment+Extra_Payment</definedName>
    <definedName name="дждщш" hidden="1">#REF!</definedName>
    <definedName name="джолж" hidden="1">{#N/A,#N/A,FALSE,"СВОД"}</definedName>
    <definedName name="джфыджфывждывдлыф" hidden="1">{"Equity Only",#N/A,FALSE,"NNGT1";"Equity Only",#N/A,FALSE,"NNT1";"Equity Only",#N/A,FALSE,"SNT1";"Equity Only",#N/A,FALSE,"BNT1";"Equity Only",#N/A,FALSE,"PNT1"}</definedName>
    <definedName name="дизтопливо">#REF!</definedName>
    <definedName name="Директор">#REF!</definedName>
    <definedName name="дисконт">NA()</definedName>
    <definedName name="дисконт_1">NA()</definedName>
    <definedName name="длва" hidden="1">{#N/A,#N/A,TRUE,"Лист1";#N/A,#N/A,TRUE,"Лист2";#N/A,#N/A,TRUE,"Лист3"}</definedName>
    <definedName name="Длинный" hidden="1">#REF!</definedName>
    <definedName name="длщш" hidden="1">#REF!</definedName>
    <definedName name="Дней">31</definedName>
    <definedName name="до">CONCATENATE(#REF!,#REF!)</definedName>
    <definedName name="Доб.кв." hidden="1">#N/A</definedName>
    <definedName name="дог">#REF!</definedName>
    <definedName name="договор">#REF!</definedName>
    <definedName name="дод" hidden="1">{"Товар.выработка без продаж",#N/A,FALSE,"товар"}</definedName>
    <definedName name="документ10" hidden="1">{"'Sheet1'!$A$1:$G$96","'Sheet1'!$A$1:$H$96"}</definedName>
    <definedName name="дол">#REF!</definedName>
    <definedName name="ДОЛЛАР">#REF!</definedName>
    <definedName name="Доллар\">#REF!</definedName>
    <definedName name="Доллар_">#REF!</definedName>
    <definedName name="доллар_20">#REF!</definedName>
    <definedName name="доллар_21">#REF!</definedName>
    <definedName name="доллар_22">#REF!</definedName>
    <definedName name="доллар_23">#REF!</definedName>
    <definedName name="доллар_24">#REF!</definedName>
    <definedName name="доллар_25">#REF!</definedName>
    <definedName name="доллар_26">#REF!</definedName>
    <definedName name="доллар_27">#REF!</definedName>
    <definedName name="доллар_28">#REF!</definedName>
    <definedName name="доллар_29">#REF!</definedName>
    <definedName name="доллар_30">#REF!</definedName>
    <definedName name="доллар22">#REF!</definedName>
    <definedName name="доля_механиз">#REF!</definedName>
    <definedName name="дом" hidden="1">{"AnalRSA",#N/A,TRUE,"PL-Anal";"AnalIAS",#N/A,TRUE,"PL-Anal"}</definedName>
    <definedName name="Доп">#REF!</definedName>
    <definedName name="доп_парсек2" hidden="1">{"'noform'!$A$6:$C$245"}</definedName>
    <definedName name="доп_парсек3" hidden="1">{"'noform'!$A$6:$C$245"}</definedName>
    <definedName name="допотп">#REF!</definedName>
    <definedName name="допр" hidden="1">#REF!</definedName>
    <definedName name="дор" hidden="1">{#N/A,#N/A,FALSE,"ZAP_FEB.XLS "}</definedName>
    <definedName name="доставка">#REF!</definedName>
    <definedName name="Доход">#REF!</definedName>
    <definedName name="Доход_1">#REF!</definedName>
    <definedName name="дпладоп" hidden="1">{"баланс",#N/A,TRUE,"Баланс  на  декабрь"}</definedName>
    <definedName name="Дподр09" hidden="1">#REF!</definedName>
    <definedName name="дробленнаяруда" hidden="1">{#N/A,#N/A,FALSE,"Aging Summary";#N/A,#N/A,FALSE,"Ratio Analysis";#N/A,#N/A,FALSE,"Test 120 Day Accts";#N/A,#N/A,FALSE,"Tickmarks"}</definedName>
    <definedName name="дс">#REF!</definedName>
    <definedName name="ДЦ">#REF!</definedName>
    <definedName name="ДЦ1">#REF!</definedName>
    <definedName name="ДЦ10">#REF!</definedName>
    <definedName name="ДЦ11">#REF!</definedName>
    <definedName name="ДЦ12">#REF!</definedName>
    <definedName name="ДЦ13">#REF!</definedName>
    <definedName name="ДЦ14">#REF!</definedName>
    <definedName name="ДЦ15">#REF!</definedName>
    <definedName name="ДЦ16">#REF!</definedName>
    <definedName name="ДЦ17">#REF!</definedName>
    <definedName name="ДЦ18">#REF!</definedName>
    <definedName name="ДЦ19">#REF!</definedName>
    <definedName name="ДЦ2">#REF!</definedName>
    <definedName name="ДЦ2_">#REF!</definedName>
    <definedName name="ДЦ20">#REF!</definedName>
    <definedName name="ДЦ20_1">#REF!</definedName>
    <definedName name="ДЦ21">#REF!</definedName>
    <definedName name="ДЦ22">#REF!</definedName>
    <definedName name="ДЦ23">#REF!</definedName>
    <definedName name="ДЦ24">#REF!</definedName>
    <definedName name="ДЦ25">#REF!</definedName>
    <definedName name="ДЦ26">#REF!</definedName>
    <definedName name="ДЦ3">#REF!</definedName>
    <definedName name="ДЦ3_">#REF!</definedName>
    <definedName name="ДЦ31">#REF!</definedName>
    <definedName name="ДЦ4">#REF!</definedName>
    <definedName name="ДЦ5">#REF!</definedName>
    <definedName name="ДЦ6">#REF!</definedName>
    <definedName name="ДЦ6_1">#REF!</definedName>
    <definedName name="ДЦ60">#REF!</definedName>
    <definedName name="ДЦ7">#REF!</definedName>
    <definedName name="ДЦ8">#REF!</definedName>
    <definedName name="ДЦ9">#REF!</definedName>
    <definedName name="дьлэдл" hidden="1">{#N/A,#N/A,FALSE,"ZAP_FEB.XLS "}</definedName>
    <definedName name="дьлэдлм" hidden="1">{#N/A,#N/A,FALSE,"ZAP_FEB.XLS "}</definedName>
    <definedName name="ДЭС">#REF!</definedName>
    <definedName name="е_Н_п">#REF!</definedName>
    <definedName name="е1" hidden="1">{"Товар.выработка без продаж",#N/A,FALSE,"товар"}</definedName>
    <definedName name="евв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евораыпа" hidden="1">#REF!</definedName>
    <definedName name="евро">#REF!</definedName>
    <definedName name="евро_20">#REF!</definedName>
    <definedName name="евро_21">#REF!</definedName>
    <definedName name="евро_22">#REF!</definedName>
    <definedName name="евро_23">#REF!</definedName>
    <definedName name="евро_24">#REF!</definedName>
    <definedName name="евро_25">#REF!</definedName>
    <definedName name="евро_26">#REF!</definedName>
    <definedName name="евро_27">#REF!</definedName>
    <definedName name="евро_28">#REF!</definedName>
    <definedName name="евро_29">#REF!</definedName>
    <definedName name="евро_30">#REF!</definedName>
    <definedName name="евро22">#REF!</definedName>
    <definedName name="Ед1">#REF!</definedName>
    <definedName name="Ед2">#REF!</definedName>
    <definedName name="Ед3">#REF!</definedName>
    <definedName name="Ед4">#REF!</definedName>
    <definedName name="Ед5">#REF!</definedName>
    <definedName name="Ед6">#REF!</definedName>
    <definedName name="еее" hidden="1">{"Товар.выработка без продаж",#N/A,FALSE,"товар"}</definedName>
    <definedName name="ееее" hidden="1">{#N/A,#N/A,TRUE,"Лист1";#N/A,#N/A,TRUE,"Лист2";#N/A,#N/A,TRUE,"Лист3"}</definedName>
    <definedName name="ееееееееееееееееееееееееее" hidden="1">#N/A</definedName>
    <definedName name="ееефаф" hidden="1">#REF!</definedName>
    <definedName name="ек" localSheetId="0" hidden="1">Main.SAPF4Help()</definedName>
    <definedName name="ек" localSheetId="2" hidden="1">Main.SAPF4Help()</definedName>
    <definedName name="ек" localSheetId="1" hidden="1">Main.SAPF4Help()</definedName>
    <definedName name="ек" hidden="1">Main.SAPF4Help()</definedName>
    <definedName name="еку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емм">#REF!</definedName>
    <definedName name="емм1">#REF!</definedName>
    <definedName name="ен" hidden="1">{"баланс",#N/A,TRUE,"Баланс  на  декабрь"}</definedName>
    <definedName name="енакен" hidden="1">{"План продаж",#N/A,FALSE,"товар"}</definedName>
    <definedName name="енг" hidden="1">#REF!</definedName>
    <definedName name="енекнен" hidden="1">{#N/A,#N/A,TRUE,"SummaryFS (Cons to Disposal)";"Summary",#N/A,TRUE,"Cons 97 (NGDU cons to disposal)";"Summary",#N/A,TRUE,"Cons 96 (NGDU cons)";#N/A,#N/A,TRUE,"SummaryFS (ex-NGDU)";"Summary",#N/A,TRUE,"Cons 97 (ex-NGDU)";"Summary",#N/A,TRUE,"Cons 96 (ex-NGDU)"}</definedName>
    <definedName name="енененег" hidden="1">{"Equity Only",#N/A,FALSE,"NNGT1";"Equity Only",#N/A,FALSE,"NNT1";"Equity Only",#N/A,FALSE,"SNT1";"Equity Only",#N/A,FALSE,"BNT1";"Equity Only",#N/A,FALSE,"PNT1"}</definedName>
    <definedName name="енрен">#REF!</definedName>
    <definedName name="епр" hidden="1">#REF!</definedName>
    <definedName name="ЕСН">0.366</definedName>
    <definedName name="етмпшек" hidden="1">#REF!</definedName>
    <definedName name="еук" localSheetId="0" hidden="1">Main.SAPF4Help()</definedName>
    <definedName name="еук" localSheetId="2" hidden="1">Main.SAPF4Help()</definedName>
    <definedName name="еук" localSheetId="1" hidden="1">Main.SAPF4Help()</definedName>
    <definedName name="еук" hidden="1">Main.SAPF4Help()</definedName>
    <definedName name="ефе" localSheetId="0" hidden="1">Main.SAPF4Help()</definedName>
    <definedName name="ефе" localSheetId="2" hidden="1">Main.SAPF4Help()</definedName>
    <definedName name="ефе" localSheetId="1" hidden="1">Main.SAPF4Help()</definedName>
    <definedName name="ефе" hidden="1">Main.SAPF4Help()</definedName>
    <definedName name="еывке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ж" hidden="1">#REF!</definedName>
    <definedName name="ж2">#REF!</definedName>
    <definedName name="ждл" hidden="1">{"'TV_Naid'!$B$6:$D$209"}</definedName>
    <definedName name="ждхз" hidden="1">#REF!</definedName>
    <definedName name="жж" hidden="1">{"Товар.выработка без продаж",#N/A,FALSE,"товар"}</definedName>
    <definedName name="жжж" hidden="1">{"План продаж",#N/A,FALSE,"товар"}</definedName>
    <definedName name="жжжжжжжж" hidden="1">#REF!</definedName>
    <definedName name="жжэл">#REF!</definedName>
    <definedName name="жЖЭХ" hidden="1">#REF!</definedName>
    <definedName name="жэщ" hidden="1">{"План продаж",#N/A,FALSE,"товар"}</definedName>
    <definedName name="З" hidden="1">{#N/A,#N/A,FALSE,"ZAP_FEB.XLS "}</definedName>
    <definedName name="з1" hidden="1">{"План продаж",#N/A,FALSE,"товар"}</definedName>
    <definedName name="завод">#REF!</definedName>
    <definedName name="завоз">#REF!</definedName>
    <definedName name="_xlnm.Print_Titles">#REF!</definedName>
    <definedName name="Заголовок_для_печати">#REF!</definedName>
    <definedName name="ЗАД" hidden="1">{"Прибыль",#N/A,FALSE,"Литейн"}</definedName>
    <definedName name="Задолж_с1">#REF!</definedName>
    <definedName name="зак.рем." hidden="1">{#N/A,#N/A,FALSE,"ZAP_FEB.XLS "}</definedName>
    <definedName name="Заказчик">#REF!</definedName>
    <definedName name="замена">#REF!</definedName>
    <definedName name="зап" hidden="1">{#N/A,#N/A,FALSE,"ZAP_FEB.XLS "}</definedName>
    <definedName name="Зап_09.97" hidden="1">{#N/A,#N/A,FALSE,"ZAP_FEB.XLS "}</definedName>
    <definedName name="зарплата">#REF!</definedName>
    <definedName name="застр" hidden="1">#REF!</definedName>
    <definedName name="ЗАТРАТЫ">#REF!,#REF!,#REF!,#REF!,#REF!,#REF!,#REF!,#REF!,#REF!</definedName>
    <definedName name="зачет">#REF!</definedName>
    <definedName name="заявка">#REF!</definedName>
    <definedName name="ззз" hidden="1">{"План продаж",#N/A,FALSE,"товар"}</definedName>
    <definedName name="зимние">#REF!</definedName>
    <definedName name="ЗМБ">#REF!</definedName>
    <definedName name="зоя">#REF!</definedName>
    <definedName name="зп">#REF!</definedName>
    <definedName name="ЗП_машин">#REF!</definedName>
    <definedName name="зпмес">#REF!</definedName>
    <definedName name="зпо">#REF!</definedName>
    <definedName name="зппр">#REF!</definedName>
    <definedName name="зпч">#REF!</definedName>
    <definedName name="зу">#REF!</definedName>
    <definedName name="ЗУ_СКЖ">#REF!</definedName>
    <definedName name="ЗУ_СКЖ___0">#REF!</definedName>
    <definedName name="ЗУ_СКЖ___8">#REF!</definedName>
    <definedName name="ЗУ_Спутник">#REF!</definedName>
    <definedName name="ЗУ_Спутник___0">#REF!</definedName>
    <definedName name="ЗУ_Спутник___8">#REF!</definedName>
    <definedName name="зщ" hidden="1">{"'Sheet1'!$A$1:$G$96","'Sheet1'!$A$1:$H$96"}</definedName>
    <definedName name="зщш" localSheetId="0" hidden="1">Main.SAPF4Help()</definedName>
    <definedName name="зщш" localSheetId="2" hidden="1">Main.SAPF4Help()</definedName>
    <definedName name="зщш" localSheetId="1" hidden="1">Main.SAPF4Help()</definedName>
    <definedName name="зщш" hidden="1">Main.SAPF4Help()</definedName>
    <definedName name="зщшг" hidden="1">#REF!</definedName>
    <definedName name="и" hidden="1">{"осн2",#N/A,FALSE,"Оснрасчет";"осн3",#N/A,FALSE,"Оснрасчет";#N/A,#N/A,FALSE,"кальк эн";#N/A,#N/A,FALSE,"накл ц";#N/A,#N/A,FALSE,"накл котельной";#N/A,#N/A,FALSE,"НАКЛ ЭНЕРГ";#N/A,#N/A,FALSE,"НАКЛ ВОДЫ"}</definedName>
    <definedName name="и_н_п">#REF!</definedName>
    <definedName name="иди">#REF!,#REF!</definedName>
    <definedName name="ие" hidden="1">{"Товар.выработка без продаж",#N/A,FALSE,"товар"}</definedName>
    <definedName name="_xlnm.Extract">#REF!</definedName>
    <definedName name="изм.форма">#REF!</definedName>
    <definedName name="изп">#REF!</definedName>
    <definedName name="израсх." hidden="1">{"План продаж",#N/A,FALSE,"товар"}</definedName>
    <definedName name="иии" hidden="1">{#N/A,#N/A,FALSE,"ZAP_FEB.XLS "}</definedName>
    <definedName name="ииии" localSheetId="0" hidden="1">Main.SAPF4Help()</definedName>
    <definedName name="ииии" localSheetId="2" hidden="1">Main.SAPF4Help()</definedName>
    <definedName name="ииии" localSheetId="1" hidden="1">Main.SAPF4Help()</definedName>
    <definedName name="ииии" hidden="1">Main.SAPF4Help()</definedName>
    <definedName name="им" hidden="1">{#N/A,#N/A,FALSE,"ZAP_FEB.XLS "}</definedName>
    <definedName name="имат">#REF!</definedName>
    <definedName name="иматзак">#REF!</definedName>
    <definedName name="иматпод">#REF!</definedName>
    <definedName name="имя">#REF!</definedName>
    <definedName name="ин" hidden="1">{"NWN_Q1810",#N/A,FALSE,"Q1810_1.V";"NWN_Q1412",#N/A,FALSE,"Q1412_1"}</definedName>
    <definedName name="Инвестор">#REF!</definedName>
    <definedName name="инд1">#REF!</definedName>
    <definedName name="инд11">#REF!</definedName>
    <definedName name="инд12">#REF!</definedName>
    <definedName name="инд13">#REF!</definedName>
    <definedName name="инд3">#REF!</definedName>
    <definedName name="инд4">#REF!</definedName>
    <definedName name="инд5">#REF!</definedName>
    <definedName name="инд6">#REF!</definedName>
    <definedName name="инд7">#REF!</definedName>
    <definedName name="инд8">#REF!</definedName>
    <definedName name="инд9">#REF!</definedName>
    <definedName name="индекс">#REF!</definedName>
    <definedName name="Индекс_дефлятор_для_оборудования">#REF!</definedName>
    <definedName name="Индекс_дефлятор_для_оборудования___0">#REF!</definedName>
    <definedName name="Индекс_ЛН_группы_строек">#REF!</definedName>
    <definedName name="Индекс_ЛН_локальной_сметы">#REF!</definedName>
    <definedName name="Индекс_ЛН_объекта">#REF!</definedName>
    <definedName name="Индекс_ЛН_объектной_сметы">#REF!</definedName>
    <definedName name="Индекс_ЛН_очереди">#REF!</definedName>
    <definedName name="Индекс_ЛН_пускового_комплекса">#REF!</definedName>
    <definedName name="Индекс_ЛН_сводного_сметного_расчета">#REF!</definedName>
    <definedName name="Индекс_ЛН_стройки">#REF!</definedName>
    <definedName name="индЗП">#REF!</definedName>
    <definedName name="индцкавг98" hidden="1">{#N/A,#N/A,TRUE,"Лист1";#N/A,#N/A,TRUE,"Лист2";#N/A,#N/A,TRUE,"Лист3"}</definedName>
    <definedName name="индЭМ">#REF!</definedName>
    <definedName name="ИНН">#REF!</definedName>
    <definedName name="ИНН1">#REF!</definedName>
    <definedName name="инф" hidden="1">{#N/A,#N/A,FALSE,"ZAP_FEB.XLS "}</definedName>
    <definedName name="инф.CNY23">#REF!</definedName>
    <definedName name="инф.CNY24">#REF!</definedName>
    <definedName name="инф.CNY25">#REF!</definedName>
    <definedName name="инф.CNY26">#REF!</definedName>
    <definedName name="инф.CNY27">#REF!</definedName>
    <definedName name="инф.USD23">#REF!</definedName>
    <definedName name="инф.USD24">#REF!</definedName>
    <definedName name="инф.USD25">#REF!</definedName>
    <definedName name="инф.USD26">#REF!</definedName>
    <definedName name="инф.USD27">#REF!</definedName>
    <definedName name="инф.РУБ23">#REF!</definedName>
    <definedName name="инф.РУБ24">#REF!</definedName>
    <definedName name="инф.РУБ25">#REF!</definedName>
    <definedName name="инф.РУБ26">#REF!</definedName>
    <definedName name="инф.РУБ27">#REF!</definedName>
    <definedName name="инф23">#REF!</definedName>
    <definedName name="инф24">#REF!</definedName>
    <definedName name="инф25">#REF!</definedName>
    <definedName name="инф26">#REF!</definedName>
    <definedName name="инф27">#REF!</definedName>
    <definedName name="Инфл_руб_2021" hidden="1">#REF!</definedName>
    <definedName name="Инфл_руб_2022" hidden="1">#REF!</definedName>
    <definedName name="инфляция">1</definedName>
    <definedName name="инфо" hidden="1">{"NWN_Q1810",#N/A,FALSE,"Q1810_1.V";"NWN_Q1412",#N/A,FALSE,"Q1412_1"}</definedName>
    <definedName name="иппппртит" hidden="1">{#N/A,#N/A,TRUE,"Лист1";#N/A,#N/A,TRUE,"Лист2";#N/A,#N/A,TRUE,"Лист3"}</definedName>
    <definedName name="ир" hidden="1">{"План продаж",#N/A,FALSE,"товар"}</definedName>
    <definedName name="ИТ">#REF!</definedName>
    <definedName name="ит6" hidden="1">{"'Sheet1'!$A$1:$G$96","'Sheet1'!$A$1:$H$96"}</definedName>
    <definedName name="итбьтб" hidden="1">#REF!</definedName>
    <definedName name="итиьпимпвпврпр" hidden="1">{#N/A,#N/A,FALSE,"ZAP_FEB.XLS "}</definedName>
    <definedName name="итог3" hidden="1">#REF!</definedName>
    <definedName name="Итого_ЗПМ__по_рес_расчету_с_учетом_к_тов">#REF!</definedName>
    <definedName name="Итого_ЗПМ_в_базисных_ценах">#REF!</definedName>
    <definedName name="Итого_ЗПМ_в_базисных_ценах_с_учетом_к_тов">#REF!</definedName>
    <definedName name="Итого_ЗПМ_по_акту_вып_работ_в_базисных_ценах_с_учетом_к_тов">#REF!</definedName>
    <definedName name="Итого_ЗПМ_по_акту_вып_работ_при_ресурсном_расчете_с_учетом_к_тов">#REF!</definedName>
    <definedName name="Итого_ЗПМ_по_акту_выполненных_работ_в_базисных_ценах">#REF!</definedName>
    <definedName name="Итого_ЗПМ_по_акту_выполненных_работ_при_ресурсном_расчете">#REF!</definedName>
    <definedName name="Итого_ЗПМ_при_расчете_по_стоимости_ч_часа_работы_механизаторов">#REF!</definedName>
    <definedName name="Итого_МАТ_по_акту_вып_работ_в_базисных_ценах_с_учетом_к_тов">#REF!</definedName>
    <definedName name="Итого_МАТ_по_акту_вып_работ_при_ресурсном_расчете_с_учетом_к_тов">#REF!</definedName>
    <definedName name="Итого_материалы">#REF!</definedName>
    <definedName name="Итого_материалы__по_рес_расчету_с_учетом_к_тов">#REF!</definedName>
    <definedName name="Итого_материалы_в_базисных_ценах">#REF!</definedName>
    <definedName name="Итого_материалы_в_базисных_ценах_с_учетом_к_тов">#REF!</definedName>
    <definedName name="Итого_материалы_по_акту_выполненных_работ_в_базисных_ценах">#REF!</definedName>
    <definedName name="Итого_материалы_по_акту_выполненных_работ_при_ресурсном_расчете">#REF!</definedName>
    <definedName name="Итого_машины_и_механизмы">#REF!</definedName>
    <definedName name="Итого_машины_и_механизмы_в_базисных_ценах">#REF!</definedName>
    <definedName name="Итого_машины_и_механизмы_по_акту_выполненных_работ_в_базисных_ценах">#REF!</definedName>
    <definedName name="Итого_машины_и_механизмы_по_акту_выполненных_работ_при_ресурсном_расчете">#REF!</definedName>
    <definedName name="Итого_НР_в_базисных_ценах">#REF!</definedName>
    <definedName name="Итого_НР_по_акту_в_базисных_ценах">#REF!</definedName>
    <definedName name="Итого_НР_по_акту_по_ресурсному_расчету">#REF!</definedName>
    <definedName name="Итого_НР_по_ресурсному_расчету">#REF!</definedName>
    <definedName name="Итого_ОЗП">#REF!</definedName>
    <definedName name="Итого_ОЗП_в_базисных_ценах">#REF!</definedName>
    <definedName name="Итого_ОЗП_в_базисных_ценах_с_учетом_к_тов">#REF!</definedName>
    <definedName name="Итого_ОЗП_по_акту_вып_работ_в_базисных_ценах_с_учетом_к_тов">#REF!</definedName>
    <definedName name="Итого_ОЗП_по_акту_вып_работ_при_ресурсном_расчете_с_учетом_к_тов">#REF!</definedName>
    <definedName name="Итого_ОЗП_по_акту_выполненных_работ_в_базисных_ценах">#REF!</definedName>
    <definedName name="Итого_ОЗП_по_акту_выполненных_работ_при_ресурсном_расчете">#REF!</definedName>
    <definedName name="Итого_ОЗП_по_рес_расчету_с_учетом_к_тов">#REF!</definedName>
    <definedName name="Итого_ПЗ">#REF!</definedName>
    <definedName name="Итого_ПЗ_в_базисных_ценах">#REF!</definedName>
    <definedName name="Итого_ПЗ_в_базисных_ценах_с_учетом_к_тов">#REF!</definedName>
    <definedName name="Итого_ПЗ_по_акту_вып_работ_в_базисных_ценах_с_учетом_к_тов">#REF!</definedName>
    <definedName name="Итого_ПЗ_по_акту_вып_работ_при_ресурсном_расчете_с_учетом_к_тов">#REF!</definedName>
    <definedName name="Итого_ПЗ_по_акту_выполненных_работ_в_базисных_ценах">#REF!</definedName>
    <definedName name="Итого_ПЗ_по_акту_выполненных_работ_при_ресурсном_расчете">#REF!</definedName>
    <definedName name="Итого_ПЗ_по_рес_расчету_с_учетом_к_тов">#REF!</definedName>
    <definedName name="Итого_по_Заказчику_1">CONCATENATE(#REF!,#REF!)</definedName>
    <definedName name="Итого_СП_в_базисных_ценах">#REF!</definedName>
    <definedName name="Итого_СП_по_акту_в_базисных_ценах">#REF!</definedName>
    <definedName name="Итого_СП_по_акту_по_ресурсному_расчету">#REF!</definedName>
    <definedName name="Итого_СП_по_ресурсному_расчету">#REF!</definedName>
    <definedName name="Итого_ФОТ_в_базисных_ценах">#REF!</definedName>
    <definedName name="Итого_ФОТ_по_акту_выполненных_работ_в_базисных_ценах">#REF!</definedName>
    <definedName name="Итого_ФОТ_по_акту_выполненных_работ_при_ресурсном_расчете">#REF!</definedName>
    <definedName name="Итого_ФОТ_при_расчете_по_доле_з_п_в_стоимости_эксплуатации_машин">#REF!</definedName>
    <definedName name="Итого_ЭММ__по_рес_расчету_с_учетом_к_тов">#REF!</definedName>
    <definedName name="Итого_ЭММ_в_базисных_ценах_с_учетом_к_тов">#REF!</definedName>
    <definedName name="Итого_ЭММ_по_акту_вып_работ_в_базисных_ценах_с_учетом_к_тов">#REF!</definedName>
    <definedName name="Итого_ЭММ_по_акту_вып_работ_при_ресурсном_расчете_с_учетом_к_тов">#REF!</definedName>
    <definedName name="иь" hidden="1">#REF!,#REF!</definedName>
    <definedName name="иьи" hidden="1">#REF!,#REF!,#REF!,#REF!</definedName>
    <definedName name="иэмм">#REF!</definedName>
    <definedName name="июль">#REF!</definedName>
    <definedName name="Июнь" localSheetId="0" hidden="1">Main.SAPF4Help()</definedName>
    <definedName name="Июнь" localSheetId="2" hidden="1">Main.SAPF4Help()</definedName>
    <definedName name="Июнь" localSheetId="1" hidden="1">Main.SAPF4Help()</definedName>
    <definedName name="Июнь" hidden="1">Main.SAPF4Help()</definedName>
    <definedName name="й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й1" hidden="1">{"Товар.выработка без продаж",#N/A,FALSE,"товар"}</definedName>
    <definedName name="йй" hidden="1">{"План продаж",#N/A,FALSE,"товар"}</definedName>
    <definedName name="ййй" hidden="1">#REF!</definedName>
    <definedName name="ййййй" hidden="1">#REF!</definedName>
    <definedName name="ййййййййй" hidden="1">{"NWN_Q1810",#N/A,FALSE,"Q1810_1.V";"NWN_Q1412",#N/A,FALSE,"Q1412_1"}</definedName>
    <definedName name="йййййц5" hidden="1">#REF!</definedName>
    <definedName name="йййц" hidden="1">#REF!</definedName>
    <definedName name="йййц3" hidden="1">#REF!</definedName>
    <definedName name="ййц" hidden="1">#REF!</definedName>
    <definedName name="ййц2" hidden="1">#REF!</definedName>
    <definedName name="йуцц" hidden="1">{"print95",#N/A,FALSE,"1995E.XLS";"print96",#N/A,FALSE,"1996E.XLS"}</definedName>
    <definedName name="йцк34">{0;0;0;0;1;1;0.25;0.25;0.25;0.25;2;FALSE;FALSE;FALSE;FALSE;FALSE;#N/A;1;#N/A;1;1;"";""}</definedName>
    <definedName name="йцу" hidden="1">{"NWN_Q1810",#N/A,FALSE,"Q1810_1.V";"NWN_Q1412",#N/A,FALSE,"Q1412_1"}</definedName>
    <definedName name="йъжю" hidden="1">#REF!</definedName>
    <definedName name="јкнм" hidden="1">#REF!</definedName>
    <definedName name="к" hidden="1">#REF!</definedName>
    <definedName name="К_42">#REF!</definedName>
    <definedName name="к_ВОЛС">#REF!</definedName>
    <definedName name="к_ЗПМ">#REF!</definedName>
    <definedName name="к_МАТ">#REF!</definedName>
    <definedName name="к_ОЗП">#REF!</definedName>
    <definedName name="к_ПЗ">#REF!</definedName>
    <definedName name="к_ЭМ">#REF!</definedName>
    <definedName name="К1">#REF!</definedName>
    <definedName name="К1___0">#REF!</definedName>
    <definedName name="К1___8">#REF!</definedName>
    <definedName name="К2">#REF!</definedName>
    <definedName name="К2___0">#REF!</definedName>
    <definedName name="К2___8">#REF!</definedName>
    <definedName name="к21">#REF!</definedName>
    <definedName name="к22">#REF!</definedName>
    <definedName name="к23">#REF!</definedName>
    <definedName name="к24">#REF!</definedName>
    <definedName name="к25">#REF!</definedName>
    <definedName name="к26">#REF!</definedName>
    <definedName name="к27">#REF!</definedName>
    <definedName name="К3">#REF!</definedName>
    <definedName name="К3___0">#REF!</definedName>
    <definedName name="К3___8">#REF!</definedName>
    <definedName name="К4">#REF!</definedName>
    <definedName name="К4___0">#REF!</definedName>
    <definedName name="К4___8">#REF!</definedName>
    <definedName name="К5">#REF!</definedName>
    <definedName name="К5___0">#REF!</definedName>
    <definedName name="К5___8">#REF!</definedName>
    <definedName name="К6">#REF!</definedName>
    <definedName name="К6___0">#REF!</definedName>
    <definedName name="К6___8">#REF!</definedName>
    <definedName name="кабель" hidden="1">#REF!</definedName>
    <definedName name="Кавказ">#REF!</definedName>
    <definedName name="Кавказ__НПЗ">#REF!</definedName>
    <definedName name="Кавказ__Танкер">#REF!</definedName>
    <definedName name="Кавказ__Тихорецкая">#REF!</definedName>
    <definedName name="каетрчапетрчаптрочса" hidden="1">{#N/A,#N/A,FALSE,"ZAP_FEB.XLS "}</definedName>
    <definedName name="как" hidden="1">{#N/A,#N/A,FALSE,"ZAP_FEB.XLS "}</definedName>
    <definedName name="кал.нива" hidden="1">{#N/A,#N/A,FALSE,"ZAP_FEB.XLS "}</definedName>
    <definedName name="капр" localSheetId="0" hidden="1">Main.SAPF4Help()</definedName>
    <definedName name="капр" localSheetId="2" hidden="1">Main.SAPF4Help()</definedName>
    <definedName name="капр" localSheetId="1" hidden="1">Main.SAPF4Help()</definedName>
    <definedName name="капр" hidden="1">Main.SAPF4Help()</definedName>
    <definedName name="Категории_услуг">OFFSET(#REF!,0,0,COUNTA(#REF!)-1)</definedName>
    <definedName name="КБП_19.11" hidden="1">#REF!,#REF!</definedName>
    <definedName name="Кв">#REF!</definedName>
    <definedName name="Квартал">"  "</definedName>
    <definedName name="квунув" hidden="1">#REF!,#REF!,#REF!,#REF!</definedName>
    <definedName name="кд">#REF!</definedName>
    <definedName name="КЕ">#REF!</definedName>
    <definedName name="кег" hidden="1">#REF!</definedName>
    <definedName name="кекекее" hidden="1">{"konoplin - Личное представление",#N/A,TRUE,"ФинПлан_1кв";"konoplin - Личное представление",#N/A,TRUE,"ФинПлан_2кв"}</definedName>
    <definedName name="кекекеек" hidden="1">{"konoplin - Личное представление",#N/A,TRUE,"ФинПлан_1кв";"konoplin - Личное представление",#N/A,TRUE,"ФинПлан_2кв"}</definedName>
    <definedName name="кекекуеку" hidden="1">#REF!</definedName>
    <definedName name="кен" hidden="1">{"NWN_Q1810",#N/A,FALSE,"Q1810_1.V";"NWN_Q1412",#N/A,FALSE,"Q1412_1"}</definedName>
    <definedName name="кео" hidden="1">#REF!</definedName>
    <definedName name="кеппппппппппп" hidden="1">{#N/A,#N/A,TRUE,"Лист1";#N/A,#N/A,TRUE,"Лист2";#N/A,#N/A,TRUE,"Лист3"}</definedName>
    <definedName name="кеук" hidden="1">{"План продаж",#N/A,FALSE,"товар"}</definedName>
    <definedName name="кеукеукеук" hidden="1">{"Equity Only",#N/A,FALSE,"NNGT1";"Equity Only",#N/A,FALSE,"NNT1";"Equity Only",#N/A,FALSE,"SNT1";"Equity Only",#N/A,FALSE,"BNT1";"Equity Only",#N/A,FALSE,"PNT1"}</definedName>
    <definedName name="Кипр" hidden="1">#REF!</definedName>
    <definedName name="Китай">#REF!</definedName>
    <definedName name="Китай__Забайкальск">#REF!</definedName>
    <definedName name="Китай__Наушки">#REF!</definedName>
    <definedName name="кк_56">#REF!</definedName>
    <definedName name="кк_57">#REF!</definedName>
    <definedName name="ккк" hidden="1">{"Товар.выработка без продаж",#N/A,FALSE,"товар"}</definedName>
    <definedName name="ккккк">#REF!</definedName>
    <definedName name="ккккккккккк" hidden="1">{#N/A,#N/A,TRUE,"Лист1";#N/A,#N/A,TRUE,"Лист2";#N/A,#N/A,TRUE,"Лист3"}</definedName>
    <definedName name="кккккккккккккккккккк" hidden="1">#N/A</definedName>
    <definedName name="ккккккккккккккккккккккккккккк" hidden="1">#N/A</definedName>
    <definedName name="ккпк">#REF!</definedName>
    <definedName name="ккуе" hidden="1">#REF!</definedName>
    <definedName name="Клиентелла_пост" hidden="1">{#N/A,#N/A,TRUE,"Cover";#N/A,#N/A,TRUE,"Macro Assumptions";#N/A,#N/A,TRUE,"P&amp;L";#N/A,#N/A,TRUE,"BS";#N/A,#N/A,TRUE,"Tariffs DTe";#N/A,#N/A,TRUE,"Revenues";#N/A,#N/A,TRUE,"System Services";#N/A,#N/A,TRUE,"TPA";#N/A,#N/A,TRUE,"Opex 1";#N/A,#N/A,TRUE,"Opex";#N/A,#N/A,TRUE,"Assumptions";#N/A,#N/A,TRUE,"Depreciation";#N/A,#N/A,TRUE,"Capital Expenditures";#N/A,#N/A,TRUE,"WACC_DTe";#N/A,#N/A,TRUE,"WACC";#N/A,#N/A,TRUE,"DCF EBITDA Multiple";#N/A,#N/A,TRUE,"DCF Perpetual Growth";#N/A,#N/A,TRUE,"TComps";#N/A,#N/A,TRUE,"AComps"}</definedName>
    <definedName name="клм">#REF!</definedName>
    <definedName name="кмм">#REF!</definedName>
    <definedName name="кмо">#REF!</definedName>
    <definedName name="книга" localSheetId="0" hidden="1">Main.SAPF4Help()</definedName>
    <definedName name="книга" localSheetId="2" hidden="1">Main.SAPF4Help()</definedName>
    <definedName name="книга" localSheetId="1" hidden="1">Main.SAPF4Help()</definedName>
    <definedName name="книга" hidden="1">Main.SAPF4Help()</definedName>
    <definedName name="ко" hidden="1">{"План продаж",#N/A,FALSE,"товар"}</definedName>
    <definedName name="Код">#REF!</definedName>
    <definedName name="Код1">#REF!</definedName>
    <definedName name="КодРабот" hidden="1">#REF!</definedName>
    <definedName name="кол" hidden="1">{"План продаж",#N/A,FALSE,"товар"}</definedName>
    <definedName name="Колво1">#REF!</definedName>
    <definedName name="Колво2">#REF!</definedName>
    <definedName name="Колво3">#REF!</definedName>
    <definedName name="Колво4">#REF!</definedName>
    <definedName name="Колво5">#REF!</definedName>
    <definedName name="Колво6">#REF!</definedName>
    <definedName name="Коля" hidden="1">#REF!</definedName>
    <definedName name="Комп._Коэф.">#REF!</definedName>
    <definedName name="Комп_Коэф.">#REF!</definedName>
    <definedName name="комп_коэф2">#REF!</definedName>
    <definedName name="компании" hidden="1">#REF!</definedName>
    <definedName name="компания">#REF!</definedName>
    <definedName name="Конденсат">#REF!</definedName>
    <definedName name="Конец">12</definedName>
    <definedName name="консол" hidden="1">#REF!</definedName>
    <definedName name="консолид" hidden="1">#REF!</definedName>
    <definedName name="копия" hidden="1">{#N/A,#N/A,FALSE,"ZAP_FEB.XLS "}</definedName>
    <definedName name="копия2" hidden="1">{#N/A,#N/A,FALSE,"Aging Summary";#N/A,#N/A,FALSE,"Ratio Analysis";#N/A,#N/A,FALSE,"Test 120 Day Accts";#N/A,#N/A,FALSE,"Tickmarks"}</definedName>
    <definedName name="коэф">#REF!</definedName>
    <definedName name="коэф._Комп.">#REF!</definedName>
    <definedName name="коэф._РИФ">#REF!</definedName>
    <definedName name="коэф._РИФы">#REF!</definedName>
    <definedName name="КоэфЗ\пл">#REF!</definedName>
    <definedName name="КоэфЗ\плОбщий">#REF!</definedName>
    <definedName name="КоэфЗ_пл">#REF!</definedName>
    <definedName name="КоэфЗ_плОбщий">#REF!</definedName>
    <definedName name="кпп">#REF!</definedName>
    <definedName name="кпппук" hidden="1">#REF!,#REF!,#REF!,#REF!,#REF!,#REF!,#REF!</definedName>
    <definedName name="кпрп" hidden="1">#REF!</definedName>
    <definedName name="Кпрц">#REF!</definedName>
    <definedName name="кр" hidden="1">{"План продаж",#N/A,FALSE,"товар"}</definedName>
    <definedName name="_xlnm.Criteria">#REF!</definedName>
    <definedName name="крнспакрнгпаесогпн" hidden="1">{"План продаж",#N/A,FALSE,"товар"}</definedName>
    <definedName name="КС6">#REF!</definedName>
    <definedName name="ксения" hidden="1">#REF!</definedName>
    <definedName name="КСМУ4">#REF!</definedName>
    <definedName name="Ктехн">#REF!</definedName>
    <definedName name="КТПН_100">#REF!</definedName>
    <definedName name="КТПН_100___0">#REF!</definedName>
    <definedName name="КТПН_100___8">#REF!</definedName>
    <definedName name="кук" hidden="1">{#N/A,#N/A,FALSE,"ZAP_FEB.XLS "}</definedName>
    <definedName name="купекн54н" hidden="1">{"konoplin - Личное представление",#N/A,TRUE,"ФинПлан_1кв";"konoplin - Личное представление",#N/A,TRUE,"ФинПлан_2кв"}</definedName>
    <definedName name="Курс">#REF!</definedName>
    <definedName name="курс.">#REF!</definedName>
    <definedName name="КУРС_">#REF!</definedName>
    <definedName name="курс_доллара">#REF!</definedName>
    <definedName name="курс_евро">#REF!</definedName>
    <definedName name="КУРС_УЕ">#REF!</definedName>
    <definedName name="курс2">#REF!</definedName>
    <definedName name="КурсДол.">#REF!</definedName>
    <definedName name="КурсДолл">#REF!</definedName>
    <definedName name="КурсДоллара">#REF!</definedName>
    <definedName name="Куст№1СОД" hidden="1">#REF!</definedName>
    <definedName name="куцекуе">#REF!</definedName>
    <definedName name="л">#REF!</definedName>
    <definedName name="лао" hidden="1">{#N/A,#N/A,FALSE,"Virgin Flightdeck"}</definedName>
    <definedName name="лд" hidden="1">{"Table A,pg 1",#N/A,FALSE,"Table A-Prov GUR";"Table A,pg 2",#N/A,FALSE,"Table A-Prov GUR"}</definedName>
    <definedName name="лджж">#REF!</definedName>
    <definedName name="лдлдл">#REF!</definedName>
    <definedName name="лдлдл___0">#REF!</definedName>
    <definedName name="лдлдл___8">#REF!</definedName>
    <definedName name="лдо">#REF!</definedName>
    <definedName name="лдр" hidden="1">{"IAS Mapping",#N/A,FALSE,"RSA_FS";#N/A,#N/A,FALSE,"CHECK!";#N/A,#N/A,FALSE,"Recon";#N/A,#N/A,FALSE,"NMG";#N/A,#N/A,FALSE,"Journals";"AnalRSA",#N/A,FALSE,"PL-Anal";"AnalIAS",#N/A,FALSE,"PL-Anal";#N/A,#N/A,FALSE,"COS"}</definedName>
    <definedName name="лен">#REF!</definedName>
    <definedName name="Лена">#REF!</definedName>
    <definedName name="лимит">#REF!</definedName>
    <definedName name="лимит1" hidden="1">{#N/A,#N/A,FALSE,"Себестоимсть-97"}</definedName>
    <definedName name="лимиты">#REF!</definedName>
    <definedName name="лимиты___0">#REF!</definedName>
    <definedName name="лимиты___8">#REF!</definedName>
    <definedName name="лиса">#REF!</definedName>
    <definedName name="лисичка">#REF!</definedName>
    <definedName name="лист" hidden="1">{#N/A,#N/A,FALSE,"ZAP_FEB.XLS "}</definedName>
    <definedName name="лист1" hidden="1">{"Прибыль инстр",#N/A,FALSE,"Инстр"}</definedName>
    <definedName name="Лист5" localSheetId="0" hidden="1">Main.SAPF4Help()</definedName>
    <definedName name="Лист5" localSheetId="2" hidden="1">Main.SAPF4Help()</definedName>
    <definedName name="Лист5" localSheetId="1" hidden="1">Main.SAPF4Help()</definedName>
    <definedName name="Лист5" hidden="1">Main.SAPF4Help()</definedName>
    <definedName name="Литва__МН__контракт">#REF!</definedName>
    <definedName name="Литва__МН__спот">#REF!</definedName>
    <definedName name="Литва__МН_Броды">#REF!</definedName>
    <definedName name="Литва__МН_комб.">#REF!</definedName>
    <definedName name="Литва__МН_Речица">#REF!</definedName>
    <definedName name="Литва__МН_труба">#REF!</definedName>
    <definedName name="ЛИТЕЙКА" hidden="1">{"Прибыль прокатн",#N/A,FALSE,"Прокатн"}</definedName>
    <definedName name="ллдлж">#REF!</definedName>
    <definedName name="ллдлж___0">#REF!</definedName>
    <definedName name="ллдлж___8">#REF!</definedName>
    <definedName name="ллл" hidden="1">#REF!</definedName>
    <definedName name="лллл">#REF!</definedName>
    <definedName name="ллллл" hidden="1">#REF!</definedName>
    <definedName name="лллллллллллл" hidden="1">{"Valuation_Common",#N/A,FALSE,"Valuation"}</definedName>
    <definedName name="ло" hidden="1">{"План продаж",#N/A,FALSE,"товар"}</definedName>
    <definedName name="лол" hidden="1">{#N/A,#N/A,FALSE,"ZAP_FEB.XLS "}</definedName>
    <definedName name="лоол" hidden="1">#REF!,#REF!,#REF!,#REF!,#REF!,#REF!,#REF!</definedName>
    <definedName name="лооло">#REF!</definedName>
    <definedName name="лор" hidden="1">{#N/A,#N/A,FALSE,"ZAP_FEB.XLS "}</definedName>
    <definedName name="лролщрнг" hidden="1">{"План продаж",#N/A,FALSE,"товар"}</definedName>
    <definedName name="ЛФХА" hidden="1">{#N/A,#N/A,FALSE,"ZAP_FEB.XLS "}</definedName>
    <definedName name="лшлолоо" hidden="1">#REF!</definedName>
    <definedName name="лшн" hidden="1">{"Смета_Ц1",#N/A,FALSE,"Сметы_затрат_по_цехам"}</definedName>
    <definedName name="лщз" localSheetId="0" hidden="1">Main.SAPF4Help()</definedName>
    <definedName name="лщз" localSheetId="2" hidden="1">Main.SAPF4Help()</definedName>
    <definedName name="лщз" localSheetId="1" hidden="1">Main.SAPF4Help()</definedName>
    <definedName name="лщз" hidden="1">Main.SAPF4Help()</definedName>
    <definedName name="люда" hidden="1">{"print95",#N/A,FALSE,"1995E.XLS";"print96",#N/A,FALSE,"1996E.XLS"}</definedName>
    <definedName name="Ля" hidden="1">{"Смета_Ц1",#N/A,FALSE,"Сметы_затрат_по_цехам"}</definedName>
    <definedName name="ляля">#REF!</definedName>
    <definedName name="лямт" hidden="1">{"баланс",#N/A,TRUE,"Баланс  на  декабрь"}</definedName>
    <definedName name="м" hidden="1">#REF!</definedName>
    <definedName name="М2">#REF!</definedName>
    <definedName name="М3">#REF!</definedName>
    <definedName name="М4">#REF!</definedName>
    <definedName name="мазут">#REF!</definedName>
    <definedName name="май" localSheetId="0" hidden="1">Main.SAPF4Help()</definedName>
    <definedName name="май" localSheetId="2" hidden="1">Main.SAPF4Help()</definedName>
    <definedName name="май" localSheetId="1" hidden="1">Main.SAPF4Help()</definedName>
    <definedName name="май" hidden="1">Main.SAPF4Help()</definedName>
    <definedName name="маразм" hidden="1">{"Товар.выработка без продаж",#N/A,FALSE,"товар"}</definedName>
    <definedName name="Мари">#REF!</definedName>
    <definedName name="Марка_ТС_1" hidden="1">OFFSET(#REF!,MATCH(#REF!,#REF!,0)-1,1,COUNTIF(#REF!,#REF!),1)</definedName>
    <definedName name="МАРТ" localSheetId="0" hidden="1">Main.SAPF4Help()</definedName>
    <definedName name="МАРТ" localSheetId="2" hidden="1">Main.SAPF4Help()</definedName>
    <definedName name="МАРТ" localSheetId="1" hidden="1">Main.SAPF4Help()</definedName>
    <definedName name="МАРТ" hidden="1">Main.SAPF4Help()</definedName>
    <definedName name="март2" hidden="1">{#N/A,#N/A,TRUE,"Лист2"}</definedName>
    <definedName name="масм">#REF!</definedName>
    <definedName name="масмес">#REF!</definedName>
    <definedName name="мат">#REF!</definedName>
    <definedName name="матер">#REF!</definedName>
    <definedName name="материалы" hidden="1">#REF!</definedName>
    <definedName name="матз">#REF!</definedName>
    <definedName name="матпз">#REF!</definedName>
    <definedName name="мачта_освещения">#REF!</definedName>
    <definedName name="мачта_освещения___0">#REF!</definedName>
    <definedName name="мачта_освещения___8">#REF!</definedName>
    <definedName name="маша" hidden="1">#REF!</definedName>
    <definedName name="мб">#REF!</definedName>
    <definedName name="мбэ">#REF!</definedName>
    <definedName name="Медвежье" hidden="1">{"NWN_Q1810",#N/A,FALSE,"Q1810_1.V";"NWN_Q1412",#N/A,FALSE,"Q1412_1"}</definedName>
    <definedName name="Медвежье_1" hidden="1">{"NWN_Q1810",#N/A,FALSE,"Q1810_1.V";"NWN_Q1412",#N/A,FALSE,"Q1412_1"}</definedName>
    <definedName name="Межпромысловые_автодороги">#REF!</definedName>
    <definedName name="Межпромысловые_автодороги___0">#REF!</definedName>
    <definedName name="Межпромысловые_автодороги___5">#REF!</definedName>
    <definedName name="Межпромысловые_автодороги___6">#REF!</definedName>
    <definedName name="Межпромысловые_автодороги___7">#REF!</definedName>
    <definedName name="межпромысловые_автодороги___8">#REF!</definedName>
    <definedName name="меропр" hidden="1">{"Товар.выработка без продаж",#N/A,FALSE,"товар"}</definedName>
    <definedName name="мес" hidden="1">{"баланс",#N/A,TRUE,"Баланс  на  декабрь"}</definedName>
    <definedName name="место">#REF!</definedName>
    <definedName name="Место_планирования_ИТ_расходов" hidden="1">#REF!</definedName>
    <definedName name="Месяц">#REF!,#REF!,#REF!,#REF!,#REF!,#REF!,#REF!,#REF!,#REF!,#REF!</definedName>
    <definedName name="Месяц_25">#REF!</definedName>
    <definedName name="мех">#REF!</definedName>
    <definedName name="мз">#REF!</definedName>
    <definedName name="ми" hidden="1">{"План товар",#N/A,FALSE,"товар"}</definedName>
    <definedName name="мимим" hidden="1">{#N/A,#N/A,FALSE,"ZAP_FEB.XLS "}</definedName>
    <definedName name="мир" hidden="1">{"План продаж",#N/A,FALSE,"товар"}</definedName>
    <definedName name="мисмимим" hidden="1">{"IAS Only",#N/A,FALSE,"NNGT1";"IAS Only",#N/A,FALSE,"NNT1";"IAS Only",#N/A,FALSE,"SNT1";"IAS Only",#N/A,FALSE,"BNT1"}</definedName>
    <definedName name="мишу" hidden="1">#REF!</definedName>
    <definedName name="МК" hidden="1">#REF!</definedName>
    <definedName name="мм" hidden="1">{"Товар.выработка без продаж",#N/A,FALSE,"товар"}</definedName>
    <definedName name="ммм" hidden="1">#REF!</definedName>
    <definedName name="мммм" hidden="1">#REF!,#REF!,#REF!</definedName>
    <definedName name="ммммм" hidden="1">{"Товар.выработка без продаж",#N/A,FALSE,"товар"}</definedName>
    <definedName name="мол" hidden="1">{"Товар.выработка без продаж",#N/A,FALSE,"товар"}</definedName>
    <definedName name="момано" hidden="1">#REF!</definedName>
    <definedName name="Монтажные_работы_в_базисных_ценах">#REF!</definedName>
    <definedName name="Монтажные_работы_в_текущих_ценах">#REF!</definedName>
    <definedName name="Монтажные_работы_в_текущих_ценах_по_ресурсному_расчету">#REF!</definedName>
    <definedName name="Монтажные_работы_в_текущих_ценах_после_применения_индексов">#REF!</definedName>
    <definedName name="мор" hidden="1">#REF!</definedName>
    <definedName name="мпро">#REF!</definedName>
    <definedName name="мр" hidden="1">{"Товар.выработка без продаж",#N/A,FALSE,"товар"}</definedName>
    <definedName name="мс" hidden="1">{#N/A,#N/A,FALSE,"СВОД"}</definedName>
    <definedName name="мсоор" hidden="1">#REF!</definedName>
    <definedName name="Мурманск">#REF!</definedName>
    <definedName name="Мурманск__НПЗ">#REF!</definedName>
    <definedName name="Мурманск__НПЗ_Витино">#REF!</definedName>
    <definedName name="мух" hidden="1">{"План продаж",#N/A,FALSE,"товар"}</definedName>
    <definedName name="мы">#REF!</definedName>
    <definedName name="Н" hidden="1">#REF!</definedName>
    <definedName name="н1" hidden="1">{"Товар.выработка без продаж",#N/A,FALSE,"товар"}</definedName>
    <definedName name="Наименование_группы_строек">#REF!</definedName>
    <definedName name="Наименование_локальной_сметы">#REF!</definedName>
    <definedName name="Наименование_объекта">#REF!</definedName>
    <definedName name="Наименование_объектной_сметы">#REF!</definedName>
    <definedName name="Наименование_очереди">#REF!</definedName>
    <definedName name="Наименование_пускового_комплекса">#REF!</definedName>
    <definedName name="Наименование_сводного_сметного_расчета">#REF!</definedName>
    <definedName name="Наименование_стройки">#REF!</definedName>
    <definedName name="Наименование_ТС_1" hidden="1">#REF!</definedName>
    <definedName name="накладные">#REF!</definedName>
    <definedName name="НаклПРЦ">#REF!</definedName>
    <definedName name="накоп.">#REF!</definedName>
    <definedName name="нал" hidden="1">{#VALUE!,#N/A,TRUE,0}</definedName>
    <definedName name="налог" hidden="1">{"'КУЛАКОВ Ю.В.'!$A$1:$AP$78"}</definedName>
    <definedName name="налоги" hidden="1">{"'Sheet1'!$A$1:$G$96","'Sheet1'!$A$1:$H$96"}</definedName>
    <definedName name="налоги2" hidden="1">{"'Sheet1'!$A$1:$G$96","'Sheet1'!$A$1:$H$96"}</definedName>
    <definedName name="нас">#REF!</definedName>
    <definedName name="ната" hidden="1">{"План продаж",#N/A,FALSE,"товар"}</definedName>
    <definedName name="наталья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наташа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Начало">1</definedName>
    <definedName name="нг" hidden="1">{#N/A,#N/A,FALSE,"передел"}</definedName>
    <definedName name="нгл" hidden="1">#REF!</definedName>
    <definedName name="нго" hidden="1">{"баланс",#N/A,TRUE,"Баланс  на  декабрь"}</definedName>
    <definedName name="НГПК" hidden="1">{"План продаж",#N/A,FALSE,"товар"}</definedName>
    <definedName name="нгш" hidden="1">#REF!</definedName>
    <definedName name="НДС">#REF!</definedName>
    <definedName name="НДС1">#REF!</definedName>
    <definedName name="нет" hidden="1">{"Товар.выработка без продаж",#N/A,FALSE,"товар"}</definedName>
    <definedName name="нефтепрод.Октябрь161105" localSheetId="0" hidden="1">Main.SAPF4Help()</definedName>
    <definedName name="нефтепрод.Октябрь161105" localSheetId="2" hidden="1">Main.SAPF4Help()</definedName>
    <definedName name="нефтепрод.Октябрь161105" localSheetId="1" hidden="1">Main.SAPF4Help()</definedName>
    <definedName name="нефтепрод.Октябрь161105" hidden="1">Main.SAPF4Help()</definedName>
    <definedName name="Нефть">#REF!</definedName>
    <definedName name="нзу">#REF!</definedName>
    <definedName name="низ">#REF!</definedName>
    <definedName name="нипи" hidden="1">#REF!,#REF!,#REF!,#REF!,#REF!</definedName>
    <definedName name="нкрс" hidden="1">{#N/A,#N/A,FALSE,"ZAP_FEB.XLS "}</definedName>
    <definedName name="НКРС." hidden="1">{#N/A,#N/A,FALSE,"ZAP_FEB.XLS "}</definedName>
    <definedName name="НКРС2" hidden="1">{#N/A,#N/A,FALSE,"ZAP_FEB.XLS "}</definedName>
    <definedName name="нн" hidden="1">{"Товар.выработка без продаж",#N/A,FALSE,"товар"}</definedName>
    <definedName name="ННГА" hidden="1">{"План продаж",#N/A,FALSE,"товар"}</definedName>
    <definedName name="ннн" hidden="1">{#N/A,#N/A,FALSE,"Себестоимсть-97"}</definedName>
    <definedName name="ннр">#REF!</definedName>
    <definedName name="ннр0">#REF!</definedName>
    <definedName name="ннркс">#REF!</definedName>
    <definedName name="ннрс">#REF!</definedName>
    <definedName name="НОА" localSheetId="0" hidden="1">Main.SAPF4Help()</definedName>
    <definedName name="НОА" localSheetId="2" hidden="1">Main.SAPF4Help()</definedName>
    <definedName name="НОА" localSheetId="1" hidden="1">Main.SAPF4Help()</definedName>
    <definedName name="НОА" hidden="1">Main.SAPF4Help()</definedName>
    <definedName name="нов" hidden="1">{#N/A,#N/A,TRUE,"Лист1";#N/A,#N/A,TRUE,"Лист2";#N/A,#N/A,TRUE,"Лист3"}</definedName>
    <definedName name="новая" hidden="1">{#N/A,#N/A,FALSE,"söz_fiy_fark";#N/A,#N/A,FALSE,"ihz. icmal";#N/A,#N/A,FALSE,"1";#N/A,#N/A,FALSE,"sıh_iç_ihz";#N/A,#N/A,FALSE,"sıh_iç_tut";#N/A,#N/A,FALSE,"sıh_iç_er";#N/A,#N/A,FALSE,"2";#N/A,#N/A,FALSE,"müş_iç_ihz";#N/A,#N/A,FALSE,"müş_iç_tut";#N/A,#N/A,FALSE,"müş_iç_er";#N/A,#N/A,FALSE,"3";#N/A,#N/A,FALSE,"kal_iç_ihz";#N/A,#N/A,FALSE,"kal_iç_tut";#N/A,#N/A,FALSE,"kal_iç_er";#N/A,#N/A,FALSE,"4";#N/A,#N/A,FALSE,"oto_ihz";#N/A,#N/A,FALSE,"oto_tut";#N/A,#N/A,FALSE,"oto_er";#N/A,#N/A,FALSE,"5";#N/A,#N/A,FALSE,"brü_ihz";#N/A,#N/A,FALSE,"brü_tut";#N/A,#N/A,FALSE,"brü_er"}</definedName>
    <definedName name="новИмя" hidden="1">#REF!</definedName>
    <definedName name="ново">#REF!</definedName>
    <definedName name="новое" hidden="1">{"'Sheet1'!$A$1:$G$96","'Sheet1'!$A$1:$H$96"}</definedName>
    <definedName name="Новороссийск">#REF!</definedName>
    <definedName name="новые">#REF!</definedName>
    <definedName name="Номер">#REF!</definedName>
    <definedName name="Норм_трудоемкость_механизаторов_по_смете_с_учетом_к_тов">#REF!</definedName>
    <definedName name="Норм_трудоемкость_осн_рабочих_по_смете_с_учетом_к_тов">#REF!</definedName>
    <definedName name="Нормативная_трудоемкость_механизаторов_по_смете">#REF!</definedName>
    <definedName name="Нормативная_трудоемкость_основных_рабочих_по_смете">#REF!</definedName>
    <definedName name="ноябрь2">#REF!</definedName>
    <definedName name="НПЗ" localSheetId="0" hidden="1">Main.SAPF4Help()</definedName>
    <definedName name="НПЗ" localSheetId="2" hidden="1">Main.SAPF4Help()</definedName>
    <definedName name="НПЗ" localSheetId="1" hidden="1">Main.SAPF4Help()</definedName>
    <definedName name="НПЗ" hidden="1">Main.SAPF4Help()</definedName>
    <definedName name="НПС" localSheetId="0" hidden="1">Main.SAPF4Help()</definedName>
    <definedName name="НПС" localSheetId="2" hidden="1">Main.SAPF4Help()</definedName>
    <definedName name="НПС" localSheetId="1" hidden="1">Main.SAPF4Help()</definedName>
    <definedName name="НПС" hidden="1">Main.SAPF4Help()</definedName>
    <definedName name="нр">#REF!</definedName>
    <definedName name="нс">#REF!</definedName>
    <definedName name="НС1" localSheetId="0" hidden="1">Main.SAPF4Help()</definedName>
    <definedName name="НС1" localSheetId="2" hidden="1">Main.SAPF4Help()</definedName>
    <definedName name="НС1" localSheetId="1" hidden="1">Main.SAPF4Help()</definedName>
    <definedName name="НС1" hidden="1">Main.SAPF4Help()</definedName>
    <definedName name="Нургал" hidden="1">#REF!</definedName>
    <definedName name="НУС_01">#REF!</definedName>
    <definedName name="нщгшнижщмгнщжгши">#REF!</definedName>
    <definedName name="нягань" hidden="1">{"NWN_Q1810",#N/A,FALSE,"Q1810_1.V";"NWN_Q1412",#N/A,FALSE,"Q1412_1"}</definedName>
    <definedName name="о">#REF!</definedName>
    <definedName name="О.1" hidden="1">{#N/A,#N/A,FALSE,"ZAP_FEB.XLS "}</definedName>
    <definedName name="о61005" hidden="1">{"print95",#N/A,FALSE,"1995E.XLS";"print96",#N/A,FALSE,"1996E.XLS"}</definedName>
    <definedName name="оадо" hidden="1">{"IAS Mapping",#N/A,FALSE,"RSA_FS";#N/A,#N/A,FALSE,"CHECK!";#N/A,#N/A,FALSE,"Recon";#N/A,#N/A,FALSE,"NMG";#N/A,#N/A,FALSE,"Journals";"AnalRSA",#N/A,FALSE,"PL-Anal";"AnalIAS",#N/A,FALSE,"PL-Anal";#N/A,#N/A,FALSE,"COS"}</definedName>
    <definedName name="оар">#REF!</definedName>
    <definedName name="_xlnm.Print_Area">#REF!</definedName>
    <definedName name="Область_печати_ИМ">#REF!</definedName>
    <definedName name="обогрев">#N/A</definedName>
    <definedName name="оборз">#REF!</definedName>
    <definedName name="Оборудование_в_базисных_ценах">#REF!</definedName>
    <definedName name="Оборудование_в_текущих_ценах">#REF!</definedName>
    <definedName name="Оборудование_в_текущих_ценах_по_ресурсному_расчету">#REF!</definedName>
    <definedName name="Оборудование_в_текущих_ценах_после_применения_индексов">#REF!</definedName>
    <definedName name="Обоснование_поправки">#REF!</definedName>
    <definedName name="Обустр">#REF!</definedName>
    <definedName name="обустройство_устья">#REF!</definedName>
    <definedName name="обустройство_устья___0">#REF!</definedName>
    <definedName name="обустройство_устья___8">#REF!</definedName>
    <definedName name="общая">#REF!</definedName>
    <definedName name="общая1">#REF!</definedName>
    <definedName name="общая2">#REF!</definedName>
    <definedName name="общая5">#REF!</definedName>
    <definedName name="Общехоз">#REF!</definedName>
    <definedName name="Общехозяйственные">#REF!</definedName>
    <definedName name="Объекты_ИТ" hidden="1">#REF!</definedName>
    <definedName name="объем_авг">#REF!</definedName>
    <definedName name="Объем2">#REF!</definedName>
    <definedName name="овлпрьоми">#REF!</definedName>
    <definedName name="овое">#REF!</definedName>
    <definedName name="оги" hidden="1">{"План продаж",#N/A,FALSE,"товар"}</definedName>
    <definedName name="ОГТ_вар2" hidden="1">#REF!</definedName>
    <definedName name="од" hidden="1">{"Valuation_Common",#N/A,FALSE,"Valuation"}</definedName>
    <definedName name="одбпо" hidden="1">#REF!</definedName>
    <definedName name="Одесса_НПЗ">#REF!</definedName>
    <definedName name="оджод" hidden="1">{"Смета_Ц1",#N/A,FALSE,"Сметы_затрат_по_цехам"}</definedName>
    <definedName name="ожид" hidden="1">{#N/A,#N/A,FALSE,"1 квартал"}</definedName>
    <definedName name="ожодж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оит" hidden="1">{"NWN_Q1810",#N/A,FALSE,"Q1810_1.V";"NWN_Q1412",#N/A,FALSE,"Q1412_1"}</definedName>
    <definedName name="ок">#REF!</definedName>
    <definedName name="ОКДП1">#REF!</definedName>
    <definedName name="ОКДП2">#REF!</definedName>
    <definedName name="ОКДП3">#REF!</definedName>
    <definedName name="ОКДП4">#REF!</definedName>
    <definedName name="ОКДП5">#REF!</definedName>
    <definedName name="ОКДП6">#REF!</definedName>
    <definedName name="окно">#REF!</definedName>
    <definedName name="ОКОНХ">#REF!</definedName>
    <definedName name="ОКОНХ1">#REF!</definedName>
    <definedName name="ОКПО">#REF!</definedName>
    <definedName name="ОКПО1">#REF!</definedName>
    <definedName name="окт">#REF!</definedName>
    <definedName name="окт." hidden="1">{"'Sheet1'!$A$1:$G$96","'Sheet1'!$A$1:$H$96"}</definedName>
    <definedName name="октябрь" hidden="1">#REF!</definedName>
    <definedName name="ол" hidden="1">{#N/A,#N/A,TRUE,"Лист2"}</definedName>
    <definedName name="олд" hidden="1">{"баланс",#N/A,TRUE,"Баланс  на  декабрь"}</definedName>
    <definedName name="олдж" hidden="1">{"Valuation_Common",#N/A,FALSE,"Valuation"}</definedName>
    <definedName name="Олимпийкой" hidden="1">#REF!</definedName>
    <definedName name="ОЛРД" hidden="1">{#N/A,#N/A,FALSE,"ZAP_FEB.XLS "}</definedName>
    <definedName name="олррпп" hidden="1">{"План продаж",#N/A,FALSE,"товар"}</definedName>
    <definedName name="олтьпо" localSheetId="0" hidden="1">Main.SAPF4Help()</definedName>
    <definedName name="олтьпо" localSheetId="2" hidden="1">Main.SAPF4Help()</definedName>
    <definedName name="олтьпо" localSheetId="1" hidden="1">Main.SAPF4Help()</definedName>
    <definedName name="олтьпо" hidden="1">Main.SAPF4Help()</definedName>
    <definedName name="оля">#REF!</definedName>
    <definedName name="оо" hidden="1">#REF!</definedName>
    <definedName name="ооо">#REF!</definedName>
    <definedName name="ооолрлал" hidden="1">#REF!</definedName>
    <definedName name="ооооо">#REF!</definedName>
    <definedName name="ОООООО" hidden="1">{"IAS Only",#N/A,FALSE,"NNGT1";"IAS Only",#N/A,FALSE,"NNT1";"IAS Only",#N/A,FALSE,"SNT1";"IAS Only",#N/A,FALSE,"BNT1"}</definedName>
    <definedName name="Описание_группы_строек">#REF!</definedName>
    <definedName name="Описание_локальной_сметы">#REF!</definedName>
    <definedName name="Описание_объекта">#REF!</definedName>
    <definedName name="Описание_объектной_сметы">#REF!</definedName>
    <definedName name="Описание_очереди">#REF!</definedName>
    <definedName name="Описание_пускового_комплекса">#REF!</definedName>
    <definedName name="Описание_сводного_сметного_расчета">#REF!</definedName>
    <definedName name="Описание_стройки">#REF!</definedName>
    <definedName name="Опл">#REF!</definedName>
    <definedName name="опр" hidden="1">{"Товар.выработка без продаж",#N/A,FALSE,"товар"}</definedName>
    <definedName name="опро" hidden="1">{"баланс",#N/A,TRUE,"Баланс  на  декабрь"}</definedName>
    <definedName name="опрс" hidden="1">{#N/A,#N/A,FALSE,"ZAP_FEB.XLS "}</definedName>
    <definedName name="ор" hidden="1">{"баланс",#N/A,TRUE,"Баланс  на  декабрь"}</definedName>
    <definedName name="ораро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оро">#REF!</definedName>
    <definedName name="орорл" hidden="1">#REF!</definedName>
    <definedName name="ос" hidden="1">#REF!</definedName>
    <definedName name="осввс" hidden="1">#REF!</definedName>
    <definedName name="ОсвоениеМАЙ">#REF!</definedName>
    <definedName name="Основание">#REF!</definedName>
    <definedName name="От">#REF!</definedName>
    <definedName name="отгружено" hidden="1">{"Товар.выработка без продаж",#N/A,FALSE,"товар"}</definedName>
    <definedName name="отгрузка">#REF!</definedName>
    <definedName name="отдел" hidden="1">{"NWN_Q1810",#N/A,FALSE,"Q1810_1.V";"NWN_Q1412",#N/A,FALSE,"Q1412_1"}</definedName>
    <definedName name="Отклонение2" hidden="1">{#N/A,#N/A,TRUE,"Лист2"}</definedName>
    <definedName name="Отклонения" hidden="1">{#N/A,#N/A,FALSE,"ZAP_FEB.XLS "}</definedName>
    <definedName name="отп">#REF!</definedName>
    <definedName name="отсыпка_внутрипромысловые_дороги">#REF!</definedName>
    <definedName name="отсыпка_внутрипромысловые_дороги___0">#REF!</definedName>
    <definedName name="отсыпка_внутрипромысловые_дороги___8">#REF!</definedName>
    <definedName name="отсыпка_куст">#REF!</definedName>
    <definedName name="отсыпка_куст___0">#REF!</definedName>
    <definedName name="отсыпка_куст___8">#REF!</definedName>
    <definedName name="отсыпка_межпромысловые_дороги">#REF!</definedName>
    <definedName name="отсыпка_межпромысловые_дороги___0">#REF!</definedName>
    <definedName name="отсыпка_межпромысловые_дороги___8">#REF!</definedName>
    <definedName name="отсыпка_скв">#REF!</definedName>
    <definedName name="отсыпка_скв___0">#REF!</definedName>
    <definedName name="отсыпка_скв___8">#REF!</definedName>
    <definedName name="отчет">#REF!</definedName>
    <definedName name="отчет___0">#REF!</definedName>
    <definedName name="отчет___8">#REF!</definedName>
    <definedName name="Отчетный_период__учет_выполненных_работ">#REF!</definedName>
    <definedName name="охрана" hidden="1">{#N/A,#N/A,FALSE,"передел"}</definedName>
    <definedName name="ощ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ОЬ" hidden="1">{#N/A,#N/A,FALSE,"ZAP_FEB.XLS "}</definedName>
    <definedName name="ОЭП2" hidden="1">#REF!</definedName>
    <definedName name="п" localSheetId="0" hidden="1">Main.SAPF4Help()</definedName>
    <definedName name="п" localSheetId="2" hidden="1">Main.SAPF4Help()</definedName>
    <definedName name="п" localSheetId="1" hidden="1">Main.SAPF4Help()</definedName>
    <definedName name="п" hidden="1">Main.SAPF4Help()</definedName>
    <definedName name="п1" hidden="1">{"План продаж",#N/A,FALSE,"товар"}</definedName>
    <definedName name="П3.2" hidden="1">{#N/A,#N/A,TRUE,"Лист1";#N/A,#N/A,TRUE,"Лист2";#N/A,#N/A,TRUE,"Лист3"}</definedName>
    <definedName name="па" hidden="1">{"'Лист1'!$A$1:$W$63"}</definedName>
    <definedName name="паа" hidden="1">{"План продаж",#N/A,FALSE,"товар"}</definedName>
    <definedName name="папа" hidden="1">{"konoplin - Личное представление",#N/A,TRUE,"ФинПлан_1кв";"konoplin - Личное представление",#N/A,TRUE,"ФинПлан_2кв"}</definedName>
    <definedName name="папр" hidden="1">{#N/A,#N/A,FALSE,"ZAP_FEB.XLS "}</definedName>
    <definedName name="пар" hidden="1">{"'Лист1'!$A$1:$W$63"}</definedName>
    <definedName name="пара" localSheetId="0" hidden="1">Main.SAPF4Help()</definedName>
    <definedName name="пара" localSheetId="2" hidden="1">Main.SAPF4Help()</definedName>
    <definedName name="пара" localSheetId="1" hidden="1">Main.SAPF4Help()</definedName>
    <definedName name="пара" hidden="1">Main.SAPF4Help()</definedName>
    <definedName name="Параметры">#REF!</definedName>
    <definedName name="параметры1">#REF!</definedName>
    <definedName name="параметры2">#REF!</definedName>
    <definedName name="параметры3">#REF!</definedName>
    <definedName name="парвапрва" hidden="1">{"План продаж",#N/A,FALSE,"товар"}</definedName>
    <definedName name="паро" hidden="1">{"баланс",#N/A,TRUE,"Баланс  на  декабрь"}</definedName>
    <definedName name="пароль">#REF!</definedName>
    <definedName name="парпарпар" hidden="1">#REF!</definedName>
    <definedName name="ПВД">#REF!</definedName>
    <definedName name="пвк3" hidden="1">{"'СВОДКА январь 2004'!$BB$5"}</definedName>
    <definedName name="пворп" hidden="1">#REF!</definedName>
    <definedName name="пВр">#REF!</definedName>
    <definedName name="пВрВс">#REF!</definedName>
    <definedName name="пвыпвы" hidden="1">{"NWN_Q1810",#N/A,FALSE,"Q1810_1.V";"NWN_Q1412",#N/A,FALSE,"Q1412_1"}</definedName>
    <definedName name="пвыпвы_1" hidden="1">{"NWN_Q1810",#N/A,FALSE,"Q1810_1.V";"NWN_Q1412",#N/A,FALSE,"Q1412_1"}</definedName>
    <definedName name="пгдпг" hidden="1">{"Смета_Ц1",#N/A,FALSE,"Сметы_затрат_по_цехам"}</definedName>
    <definedName name="пгдпп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пгл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ПДО">#REF!</definedName>
    <definedName name="ПДП">#REF!</definedName>
    <definedName name="Пер">#REF!</definedName>
    <definedName name="пер.техника">#REF!</definedName>
    <definedName name="ператр1">#REF!</definedName>
    <definedName name="ператр2">#REF!</definedName>
    <definedName name="перв">#REF!</definedName>
    <definedName name="Первая_декада">#REF!</definedName>
    <definedName name="первый">#REF!</definedName>
    <definedName name="перебазир">#REF!</definedName>
    <definedName name="переезд">#REF!</definedName>
    <definedName name="переработка" localSheetId="0" hidden="1">Main.SAPF4Help()</definedName>
    <definedName name="переработка" localSheetId="2" hidden="1">Main.SAPF4Help()</definedName>
    <definedName name="переработка" localSheetId="1" hidden="1">Main.SAPF4Help()</definedName>
    <definedName name="переработка" hidden="1">Main.SAPF4Help()</definedName>
    <definedName name="ПЕреч.нефтепрод." hidden="1">{#N/A,#N/A,FALSE,"FA_1";#N/A,#N/A,FALSE,"Dep'n SE";#N/A,#N/A,FALSE,"Dep'n FC"}</definedName>
    <definedName name="Период">#REF!</definedName>
    <definedName name="перл" hidden="1">{"'Sheet1'!$A$1:$G$96","'Sheet1'!$A$1:$H$96"}</definedName>
    <definedName name="перм">#REF!</definedName>
    <definedName name="пернгаш" hidden="1">{"Товар.выработка без продаж",#N/A,FALSE,"товар"}</definedName>
    <definedName name="перо">#REF!</definedName>
    <definedName name="ПЕРСОНАЛ" hidden="1">#REF!</definedName>
    <definedName name="Петренко_охр_5мес." hidden="1">{"План продаж",#N/A,FALSE,"товар"}</definedName>
    <definedName name="пЗуВр">#REF!</definedName>
    <definedName name="пист2" hidden="1">{"Прибыль инстр",#N/A,FALSE,"Инстр"}</definedName>
    <definedName name="пич">#REF!</definedName>
    <definedName name="пк3" hidden="1">#REF!,#REF!,#REF!,#REF!,#REF!,#REF!</definedName>
    <definedName name="пк4" hidden="1">#REF!</definedName>
    <definedName name="Пл">#REF!</definedName>
    <definedName name="план" hidden="1">{"План продаж",#N/A,FALSE,"товар"}</definedName>
    <definedName name="плановые">#REF!</definedName>
    <definedName name="ПланПРЦ">#REF!</definedName>
    <definedName name="Пм1">#REF!</definedName>
    <definedName name="Пм2">#REF!</definedName>
    <definedName name="пмес">#REF!</definedName>
    <definedName name="пнлнееен" hidden="1">{#N/A,#N/A,FALSE,"Себестоимсть-97"}</definedName>
    <definedName name="ПНР">#REF!</definedName>
    <definedName name="по" hidden="1">{"План продаж",#N/A,FALSE,"товар"}</definedName>
    <definedName name="под" hidden="1">#REF!</definedName>
    <definedName name="Подкатегория">OFFSET(#REF!,MATCH(#REF!,#REF!,0)-1,1,COUNTIF(#REF!,#REF!),1)</definedName>
    <definedName name="подраз" hidden="1">#REF!</definedName>
    <definedName name="подъездные_автодороги">#REF!</definedName>
    <definedName name="подъездные_автодороги___0">#REF!</definedName>
    <definedName name="подъездные_автодороги___8">#REF!</definedName>
    <definedName name="пол" hidden="1">{"Товар.выработка без продаж",#N/A,FALSE,"товар"}</definedName>
    <definedName name="полигон">#REF!</definedName>
    <definedName name="полп" hidden="1">{"Смета_Ц1",#N/A,FALSE,"Сметы_затрат_по_цехам"}</definedName>
    <definedName name="полугодие" localSheetId="0" hidden="1">Main.SAPF4Help()</definedName>
    <definedName name="полугодие" localSheetId="2" hidden="1">Main.SAPF4Help()</definedName>
    <definedName name="полугодие" localSheetId="1" hidden="1">Main.SAPF4Help()</definedName>
    <definedName name="полугодие" hidden="1">Main.SAPF4Help()</definedName>
    <definedName name="Получатель">#REF!</definedName>
    <definedName name="Польша">#REF!</definedName>
    <definedName name="поншн" hidden="1">{"План продаж",#N/A,FALSE,"товар"}</definedName>
    <definedName name="поопопр" hidden="1">{#N/A,#N/A,TRUE,"Лист1";#N/A,#N/A,TRUE,"Лист2";#N/A,#N/A,TRUE,"Лист3"}</definedName>
    <definedName name="попрК">#REF!</definedName>
    <definedName name="ПОПРОЛВПРЛВ" hidden="1">{"План продаж",#N/A,FALSE,"товар"}</definedName>
    <definedName name="пор">CONCATENATE(#REF!,#REF!)</definedName>
    <definedName name="Поставщик">#REF!</definedName>
    <definedName name="потери1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отери2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пп">#REF!</definedName>
    <definedName name="ппапапра" hidden="1">#REF!</definedName>
    <definedName name="ппп">#REF!</definedName>
    <definedName name="пппп" hidden="1">#REF!</definedName>
    <definedName name="ппппп">#REF!</definedName>
    <definedName name="ппппппп" hidden="1">{"Товар.выработка без продаж",#N/A,FALSE,"товар"}</definedName>
    <definedName name="пппппппп" hidden="1">#REF!</definedName>
    <definedName name="ппппппппппп">#REF!</definedName>
    <definedName name="ппппппрп" hidden="1">{"NWN_Q1810",#N/A,FALSE,"Q1810_1.V";"NWN_Q1412",#N/A,FALSE,"Q1412_1"}</definedName>
    <definedName name="ППР" hidden="1">{#N/A,#N/A,FALSE,"ZAP_FEB.XLS "}</definedName>
    <definedName name="пПрВр">#REF!</definedName>
    <definedName name="ппрро" hidden="1">#REF!</definedName>
    <definedName name="пр" localSheetId="0" hidden="1">Main.SAPF4Help()</definedName>
    <definedName name="пр" localSheetId="2" hidden="1">Main.SAPF4Help()</definedName>
    <definedName name="пр" localSheetId="1" hidden="1">Main.SAPF4Help()</definedName>
    <definedName name="пр" hidden="1">Main.SAPF4Help()</definedName>
    <definedName name="пра" hidden="1">{#N/A,#N/A,FALSE,"ZAP_FEB.XLS "}</definedName>
    <definedName name="ПРАПРО" hidden="1">{"Товар.выработка без продаж",#N/A,FALSE,"товар"}</definedName>
    <definedName name="прапрпарап" hidden="1">{#N/A,#N/A,FALSE,"Supuestos";#N/A,#N/A,FALSE,"Totales";#N/A,#N/A,FALSE,"UTE TDF";#N/A,#N/A,FALSE,"C. AUSTRAL";#N/A,#N/A,FALSE,"L. ATRAVESADO";#N/A,#N/A,FALSE,"FERNANDEZ  ORO";#N/A,#N/A,FALSE,"PORTEZUELOS";#N/A,#N/A,FALSE,"25 MM";#N/A,#N/A,FALSE,"SAN ROQUE";#N/A,#N/A,FALSE,"A.  PICHANA"}</definedName>
    <definedName name="ПРВ">#REF!</definedName>
    <definedName name="првьотапрпаь">#REF!</definedName>
    <definedName name="ПРД">#REF!</definedName>
    <definedName name="Предложения" hidden="1">{"IASTrail",#N/A,FALSE,"IAS"}</definedName>
    <definedName name="Предмет1">#REF!</definedName>
    <definedName name="Предмет2">#REF!</definedName>
    <definedName name="Предмет3">#REF!</definedName>
    <definedName name="Предмет4">#REF!</definedName>
    <definedName name="Предмет5">#REF!</definedName>
    <definedName name="Предмет6">#REF!</definedName>
    <definedName name="представление_кварталы">#REF!</definedName>
    <definedName name="представление_кварталы___0">#REF!</definedName>
    <definedName name="представление_кварталы___8">#REF!</definedName>
    <definedName name="представление_СМР">#REF!</definedName>
    <definedName name="представление_СМР___0">#REF!</definedName>
    <definedName name="представление_СМР___8">#REF!</definedName>
    <definedName name="прем">#REF!</definedName>
    <definedName name="премввод">#REF!</definedName>
    <definedName name="прибыль">#REF!</definedName>
    <definedName name="прибыль1" hidden="1">{"Прибыль инстр",#N/A,FALSE,"Инстр"}</definedName>
    <definedName name="прибыль3" hidden="1">{#N/A,#N/A,TRUE,"Лист1";#N/A,#N/A,TRUE,"Лист2";#N/A,#N/A,TRUE,"Лист3"}</definedName>
    <definedName name="привет" hidden="1">{"Valuation_Common",#N/A,FALSE,"Valuation"}</definedName>
    <definedName name="Привет1" hidden="1">#REF!</definedName>
    <definedName name="прил.12.2.2" hidden="1">{"'Лист1'!$A$1:$W$63"}</definedName>
    <definedName name="прил.12.2.3" hidden="1">{"'Лист1'!$A$1:$W$63"}</definedName>
    <definedName name="Прил.Р10с1">#REF!</definedName>
    <definedName name="Прил_б.п_с1">#REF!</definedName>
    <definedName name="Прил_б.п_с2">#REF!</definedName>
    <definedName name="Прил_б.п_с3">#REF!</definedName>
    <definedName name="Прил_б.п_с4">#REF!</definedName>
    <definedName name="Прил_б.п_с5">#REF!</definedName>
    <definedName name="Прил_б.п_с6">#REF!</definedName>
    <definedName name="Прил_б.п_с7">#REF!</definedName>
    <definedName name="Прил_б.п_с8">#REF!</definedName>
    <definedName name="Прил_Б2с1">#REF!</definedName>
    <definedName name="приложение">#REF!</definedName>
    <definedName name="прим" hidden="1">#REF!,#REF!,#REF!</definedName>
    <definedName name="Приморск">#REF!</definedName>
    <definedName name="приобе" hidden="1">{#N/A,#N/A,FALSE,"ZAP_FEB.XLS "}</definedName>
    <definedName name="приобье" hidden="1">{#N/A,#N/A,FALSE,"ZAP_FEB.XLS "}</definedName>
    <definedName name="приоритеты">#REF!</definedName>
    <definedName name="приоритеты___0">#REF!</definedName>
    <definedName name="приоритеты___1">#REF!</definedName>
    <definedName name="приоритеты___10">#REF!</definedName>
    <definedName name="приоритеты___11">#REF!</definedName>
    <definedName name="приоритеты___12">#REF!</definedName>
    <definedName name="приоритеты___13">#REF!</definedName>
    <definedName name="приоритеты___14">#REF!</definedName>
    <definedName name="приоритеты___2">#REF!</definedName>
    <definedName name="приоритеты___3">#REF!</definedName>
    <definedName name="приоритеты___4">#REF!</definedName>
    <definedName name="приоритеты___5">#REF!</definedName>
    <definedName name="приоритеты___6">#REF!</definedName>
    <definedName name="приоритеты___7">#REF!</definedName>
    <definedName name="приоритеты___8">#REF!</definedName>
    <definedName name="приоритеты___9">#REF!</definedName>
    <definedName name="приюнь" hidden="1">{"Прибыль механ",#N/A,FALSE,"Механ"}</definedName>
    <definedName name="прл" hidden="1">{"баланс",#N/A,TRUE,"Баланс  на  декабрь"}</definedName>
    <definedName name="про">#REF!</definedName>
    <definedName name="проба" hidden="1">{"NWN_Q1810",#N/A,FALSE,"Q1810_1.V";"NWN_Q1412",#N/A,FALSE,"Q1412_1"}</definedName>
    <definedName name="проба_1" hidden="1">{"NWN_Q1810",#N/A,FALSE,"Q1810_1.V";"NWN_Q1412",#N/A,FALSE,"Q1412_1"}</definedName>
    <definedName name="проба1" hidden="1">{"NWN_Q1810",#N/A,FALSE,"Q1810_1.V";"NWN_Q1412",#N/A,FALSE,"Q1412_1"}</definedName>
    <definedName name="проба1_1" hidden="1">{"NWN_Q1810",#N/A,FALSE,"Q1810_1.V";"NWN_Q1412",#N/A,FALSE,"Q1412_1"}</definedName>
    <definedName name="Проверил">#REF!</definedName>
    <definedName name="Проверка" hidden="1">#REF!</definedName>
    <definedName name="прог">#REF!</definedName>
    <definedName name="проезд">#REF!</definedName>
    <definedName name="проек" localSheetId="0" hidden="1">Main.SAPF4Help()</definedName>
    <definedName name="проек" localSheetId="2" hidden="1">Main.SAPF4Help()</definedName>
    <definedName name="проек" localSheetId="1" hidden="1">Main.SAPF4Help()</definedName>
    <definedName name="проек" hidden="1">Main.SAPF4Help()</definedName>
    <definedName name="пролд" hidden="1">{"баланс",#N/A,TRUE,"Баланс  на  декабрь"}</definedName>
    <definedName name="пролпглглг" hidden="1">#REF!</definedName>
    <definedName name="пропилен">#REF!</definedName>
    <definedName name="прос" hidden="1">{#N/A,#N/A,FALSE,"ZAP_FEB.XLS "}</definedName>
    <definedName name="ПРОСТ" hidden="1">{#N/A,#N/A,FALSE,"ZAP_FEB.XLS "}</definedName>
    <definedName name="Простои_97" hidden="1">{#N/A,#N/A,FALSE,"ZAP_FEB.XLS "}</definedName>
    <definedName name="проток">#REF!</definedName>
    <definedName name="протяж">#REF!</definedName>
    <definedName name="процент">#REF!</definedName>
    <definedName name="процессинг">#REF!</definedName>
    <definedName name="процессинг_капрол">#REF!</definedName>
    <definedName name="Проч">#REF!</definedName>
    <definedName name="Прочие_затраты_в_базисных_ценах">#REF!</definedName>
    <definedName name="Прочие_затраты_в_текущих_ценах">#REF!</definedName>
    <definedName name="Прочие_затраты_в_текущих_ценах_по_ресурсному_расчету">#REF!</definedName>
    <definedName name="Прочие_затраты_в_текущих_ценах_после_применения_индексов">#REF!</definedName>
    <definedName name="прочПТПС">#REF!</definedName>
    <definedName name="прочСТГ">#REF!</definedName>
    <definedName name="прп" hidden="1">{"План продаж",#N/A,FALSE,"товар"}</definedName>
    <definedName name="прпр" hidden="1">#REF!</definedName>
    <definedName name="прр">#REF!</definedName>
    <definedName name="пррпрпрр" hidden="1">#REF!,#REF!,#REF!</definedName>
    <definedName name="пршдгш" hidden="1">#REF!</definedName>
    <definedName name="прямаяЗП">#REF!</definedName>
    <definedName name="пто" hidden="1">{"NWN_Q1810",#N/A,FALSE,"Q1810_1.V";"NWN_Q1412",#N/A,FALSE,"Q1412_1"}</definedName>
    <definedName name="Пункт_сдачи_нефти">#REF!</definedName>
    <definedName name="Пункт_сдачи_нефти___0">#REF!</definedName>
    <definedName name="Пункт_сдачи_нефти___1">#REF!</definedName>
    <definedName name="Пункт_сдачи_нефти___10">#REF!</definedName>
    <definedName name="Пункт_сдачи_нефти___12">#REF!</definedName>
    <definedName name="Пункт_сдачи_нефти___13">#REF!</definedName>
    <definedName name="Пункт_сдачи_нефти___14">#REF!</definedName>
    <definedName name="Пункт_сдачи_нефти___2">#REF!</definedName>
    <definedName name="Пункт_сдачи_нефти___3">#REF!</definedName>
    <definedName name="Пункт_сдачи_нефти___4">#REF!</definedName>
    <definedName name="Пункт_сдачи_нефти___5">#REF!</definedName>
    <definedName name="Пункт_сдачи_нефти___6">#REF!</definedName>
    <definedName name="Пункт_сдачи_нефти___7">#REF!</definedName>
    <definedName name="Пункт_сдачи_нефти___8">#REF!</definedName>
    <definedName name="Пункт_сдачи_нефти___9">#REF!</definedName>
    <definedName name="пусконаладка">#REF!</definedName>
    <definedName name="пшдпдпоо" hidden="1">#REF!</definedName>
    <definedName name="пыва" hidden="1">#REF!</definedName>
    <definedName name="пыврпапр" hidden="1">#REF!</definedName>
    <definedName name="пыпыппывапа" hidden="1">#REF!,#REF!,#REF!</definedName>
    <definedName name="пытьях">#REF!</definedName>
    <definedName name="пэтф" hidden="1">{"План продаж",#N/A,FALSE,"товар"}</definedName>
    <definedName name="р">#REF!</definedName>
    <definedName name="р.11.1" localSheetId="0" hidden="1">Main.SAPF4Help()</definedName>
    <definedName name="р.11.1" localSheetId="2" hidden="1">Main.SAPF4Help()</definedName>
    <definedName name="р.11.1" localSheetId="1" hidden="1">Main.SAPF4Help()</definedName>
    <definedName name="р.11.1" hidden="1">Main.SAPF4Help()</definedName>
    <definedName name="р.12" localSheetId="0" hidden="1">Main.SAPF4Help()</definedName>
    <definedName name="р.12" localSheetId="2" hidden="1">Main.SAPF4Help()</definedName>
    <definedName name="р.12" localSheetId="1" hidden="1">Main.SAPF4Help()</definedName>
    <definedName name="р.12" hidden="1">Main.SAPF4Help()</definedName>
    <definedName name="р.12Труд1">#REF!</definedName>
    <definedName name="р___0">#REF!</definedName>
    <definedName name="р___8">#REF!</definedName>
    <definedName name="р_пр">#REF!</definedName>
    <definedName name="р1" hidden="1">{"План продаж",#N/A,FALSE,"товар"}</definedName>
    <definedName name="ра" hidden="1">{"Товар.выработка без продаж",#N/A,FALSE,"товар"}</definedName>
    <definedName name="равропаоьрп" hidden="1">{"konoplin - Личное представление",#N/A,TRUE,"ФинПлан_1кв";"konoplin - Личное представление",#N/A,TRUE,"ФинПлан_2кв"}</definedName>
    <definedName name="Разд_10с1">#REF!</definedName>
    <definedName name="Разд_10с2">#REF!</definedName>
    <definedName name="Разд_10с3">#REF!</definedName>
    <definedName name="Разд_Б.опасн_с1">#REF!</definedName>
    <definedName name="Разд11_с1">#REF!</definedName>
    <definedName name="Разд11_с2">#REF!</definedName>
    <definedName name="Разд12_с1">#REF!</definedName>
    <definedName name="Разд8_1с1">#REF!</definedName>
    <definedName name="Разд8_1с2">#REF!</definedName>
    <definedName name="Разд8с1">#REF!</definedName>
    <definedName name="Разд8с2">#REF!</definedName>
    <definedName name="Разд8с3">#REF!</definedName>
    <definedName name="Разд9_1с1">#REF!</definedName>
    <definedName name="Разд9_1с2">#REF!</definedName>
    <definedName name="Разд9_1с3">#REF!</definedName>
    <definedName name="Разд9_1с4">#REF!</definedName>
    <definedName name="Разд9_2с1">#REF!</definedName>
    <definedName name="Разд9_2с2">#REF!</definedName>
    <definedName name="Разд9_2с3">#REF!</definedName>
    <definedName name="Разд9_2с4">#REF!</definedName>
    <definedName name="Разд9_2с5">#REF!</definedName>
    <definedName name="Разд9_2с6">#REF!</definedName>
    <definedName name="Разд9_3с1">#REF!</definedName>
    <definedName name="Разд9_3с2">#REF!</definedName>
    <definedName name="Разд9_3с3">#REF!</definedName>
    <definedName name="Разд9_3с4">#REF!</definedName>
    <definedName name="Разд9_3с5">#REF!</definedName>
    <definedName name="раздел">#REF!</definedName>
    <definedName name="разднл">#REF!</definedName>
    <definedName name="РАЗМЕРЫ">#REF!</definedName>
    <definedName name="Разное" hidden="1">{"Valuation_Common",#N/A,FALSE,"Valuation"}</definedName>
    <definedName name="район.коэф">#REF!</definedName>
    <definedName name="Районный_к_т_к_ЗП">#REF!</definedName>
    <definedName name="Районный_к_т_к_ЗП_по_ресурсному_расчету">#REF!</definedName>
    <definedName name="Районный_коэфф">#REF!</definedName>
    <definedName name="рак">#REF!</definedName>
    <definedName name="рас" hidden="1">{#N/A,#N/A,FALSE,"ZAP_FEB.XLS "}</definedName>
    <definedName name="Расх.сч.приб_с1">#REF!</definedName>
    <definedName name="Расх.сч.приб_с2">#REF!</definedName>
    <definedName name="Расч.Бюдж_1c1">#REF!</definedName>
    <definedName name="Расч.Бюдж_1c2">#REF!</definedName>
    <definedName name="Расч.Бюдж_1c3">#REF!</definedName>
    <definedName name="Расч.Бюдж_2c1">#REF!</definedName>
    <definedName name="Расч.Бюдж_2c2">#REF!</definedName>
    <definedName name="Расч.Бюдж_2c3">#REF!</definedName>
    <definedName name="расширен">#REF!</definedName>
    <definedName name="рвасо" hidden="1">{#N/A,#N/A,FALSE,"ZAP_FEB.XLS "}</definedName>
    <definedName name="рвппаопр" hidden="1">#REF!</definedName>
    <definedName name="ргргшщрщшрщшр" hidden="1">{#N/A,#N/A,FALSE,"Титульный лист";#N/A,#N/A,FALSE,"Потоки денежных средств";#N/A,#N/A,FALSE,"Потоки денежных средств (2)";#N/A,#N/A,FALSE,"Варианты";#N/A,#N/A,FALSE,"График Реализации";#N/A,#N/A,FALSE,"КПЭ";#N/A,#N/A,FALSE,"Инвестиции - варианты";#N/A,#N/A,FALSE,"Инвестиции";#N/A,#N/A,FALSE,"пр-ть";#N/A,#N/A,FALSE,"Вспом. тех.";#N/A,#N/A,FALSE,"Затраты"}</definedName>
    <definedName name="реагенты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Регистрационный_номер_группы_строек">#REF!</definedName>
    <definedName name="Регистрационный_номер_локальной_сметы">#REF!</definedName>
    <definedName name="Регистрационный_номер_объекта">#REF!</definedName>
    <definedName name="Регистрационный_номер_объектной_сметы">#REF!</definedName>
    <definedName name="Регистрационный_номер_очереди">#REF!</definedName>
    <definedName name="Регистрационный_номер_пускового_комплекса">#REF!</definedName>
    <definedName name="Регистрационный_номер_сводного_сметного_расчета">#REF!</definedName>
    <definedName name="Регистрационный_номер_стройки">#REF!</definedName>
    <definedName name="Реестр" hidden="1">#REF!</definedName>
    <definedName name="резерв">#REF!</definedName>
    <definedName name="_xlnm.Recorder">#REF!</definedName>
    <definedName name="ремонт">#REF!</definedName>
    <definedName name="рената">#REF!</definedName>
    <definedName name="рис1" hidden="1">{#N/A,#N/A,TRUE,"Лист1";#N/A,#N/A,TRUE,"Лист2";#N/A,#N/A,TRUE,"Лист3"}</definedName>
    <definedName name="рк">#REF!</definedName>
    <definedName name="рлодр" hidden="1">#REF!</definedName>
    <definedName name="рне" localSheetId="0" hidden="1">Main.SAPF4Help()</definedName>
    <definedName name="рне" localSheetId="2" hidden="1">Main.SAPF4Help()</definedName>
    <definedName name="рне" localSheetId="1" hidden="1">Main.SAPF4Help()</definedName>
    <definedName name="рне" hidden="1">Main.SAPF4Help()</definedName>
    <definedName name="рнио" hidden="1">{"План продаж",#N/A,FALSE,"товар"}</definedName>
    <definedName name="ро" hidden="1">{"'Лист1'!$A$1:$W$63"}</definedName>
    <definedName name="род">#REF!</definedName>
    <definedName name="розп">#REF!</definedName>
    <definedName name="рол">#REF!</definedName>
    <definedName name="ролд" hidden="1">#REF!</definedName>
    <definedName name="ролдд" hidden="1">#REF!</definedName>
    <definedName name="ролл" hidden="1">{#N/A,#N/A,TRUE,"Лист1";#N/A,#N/A,TRUE,"Лист2";#N/A,#N/A,TRUE,"Лист3"}</definedName>
    <definedName name="роо" hidden="1">{#N/A,#N/A,FALSE,"ZAP_FEB.XLS "}</definedName>
    <definedName name="рооо" hidden="1">{#N/A,#N/A,FALSE,"ZAP_FEB.XLS "}</definedName>
    <definedName name="ропп" hidden="1">{"План продаж",#N/A,FALSE,"товар"}</definedName>
    <definedName name="роро">#REF!</definedName>
    <definedName name="РП" hidden="1">{"'Лист1'!$A$1:$W$63"}</definedName>
    <definedName name="рпар">#REF!</definedName>
    <definedName name="рплп" hidden="1">{"баланс",#N/A,TRUE,"Баланс  на  декабрь"}</definedName>
    <definedName name="рпоалал" hidden="1">#REF!</definedName>
    <definedName name="рр" hidden="1">{#N/A,#N/A,FALSE,"ZAP_FEB.XLS "}</definedName>
    <definedName name="ррр" hidden="1">{"План продаж",#N/A,FALSE,"товар"}</definedName>
    <definedName name="ррррр">#REF!</definedName>
    <definedName name="рррррррррр" hidden="1">{"Valuation_Common",#N/A,FALSE,"Valuation"}</definedName>
    <definedName name="ррррррррррррррррррррррррррррррррр" hidden="1">#REF!</definedName>
    <definedName name="Рсчет">#REF!</definedName>
    <definedName name="Рсчет1">#REF!</definedName>
    <definedName name="рыеор" hidden="1">{"IASTrail",#N/A,FALSE,"IAS"}</definedName>
    <definedName name="Рядность">#REF!</definedName>
    <definedName name="с" hidden="1">{"План продаж",#N/A,FALSE,"товар"}</definedName>
    <definedName name="с1">#REF!</definedName>
    <definedName name="С17">#REF!</definedName>
    <definedName name="с2">#REF!</definedName>
    <definedName name="с21">#REF!</definedName>
    <definedName name="с22">#REF!</definedName>
    <definedName name="с3">#REF!</definedName>
    <definedName name="с401">#REF!</definedName>
    <definedName name="С7">#REF!</definedName>
    <definedName name="са">#REF!</definedName>
    <definedName name="СААВ">#REF!</definedName>
    <definedName name="Самосвалы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саш" hidden="1">{#N/A,#N/A,FALSE,"ZAP_FEB.XLS "}</definedName>
    <definedName name="св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света">#REF!</definedName>
    <definedName name="светы">#REF!</definedName>
    <definedName name="Свод" hidden="1">{"План продаж",#N/A,FALSE,"товар"}</definedName>
    <definedName name="сгб" hidden="1">{"NWN_Q1810",#N/A,FALSE,"Q1810_1.V";"NWN_Q1412",#N/A,FALSE,"Q1412_1"}</definedName>
    <definedName name="сгб_1" hidden="1">{"NWN_Q1810",#N/A,FALSE,"Q1810_1.V";"NWN_Q1412",#N/A,FALSE,"Q1412_1"}</definedName>
    <definedName name="сдал">#REF!</definedName>
    <definedName name="сдн">#REF!</definedName>
    <definedName name="сдо_авг">#REF!</definedName>
    <definedName name="Северо" hidden="1">{"NWN_Q1810",#N/A,FALSE,"Q1810_1.V";"NWN_Q1412",#N/A,FALSE,"Q1412_1"}</definedName>
    <definedName name="Северо_1" hidden="1">{"NWN_Q1810",#N/A,FALSE,"Q1810_1.V";"NWN_Q1412",#N/A,FALSE,"Q1412_1"}</definedName>
    <definedName name="семен" hidden="1">{"'СВОДКА январь 2004'!$BB$5"}</definedName>
    <definedName name="семна" hidden="1">{"'СВОДКА январь 2004'!$BB$5"}</definedName>
    <definedName name="сентябрь" localSheetId="0" hidden="1">Main.SAPF4Help()</definedName>
    <definedName name="сентябрь" localSheetId="2" hidden="1">Main.SAPF4Help()</definedName>
    <definedName name="сентябрь" localSheetId="1" hidden="1">Main.SAPF4Help()</definedName>
    <definedName name="сентябрь" hidden="1">Main.SAPF4Help()</definedName>
    <definedName name="Сербия">#REF!</definedName>
    <definedName name="СИБУР">#REF!</definedName>
    <definedName name="система_телемеханики_РС">#REF!</definedName>
    <definedName name="система_телемеханики_РС___0">#REF!</definedName>
    <definedName name="система_телемеханики_РС___8">#REF!</definedName>
    <definedName name="Скважины">NA()</definedName>
    <definedName name="Скважины_1">NA()</definedName>
    <definedName name="скиба">#REF!</definedName>
    <definedName name="Скорость">#REF!</definedName>
    <definedName name="Словакия">#REF!</definedName>
    <definedName name="Словакия_контракт">#REF!</definedName>
    <definedName name="Словакия_спот">#REF!</definedName>
    <definedName name="см" hidden="1">{"План продаж",#N/A,FALSE,"товар"}</definedName>
    <definedName name="Смазка">#REF!</definedName>
    <definedName name="смг" hidden="1">{"konoplin - Личное представление",#N/A,TRUE,"ФинПлан_1кв";"konoplin - Личное представление",#N/A,TRUE,"ФинПлан_2кв"}</definedName>
    <definedName name="Смета" hidden="1">{"NWN_Q1810",#N/A,FALSE,"Q1810_1.V";"NWN_Q1412",#N/A,FALSE,"Q1412_1"}</definedName>
    <definedName name="Смета_1" hidden="1">{"NWN_Q1810",#N/A,FALSE,"Q1810_1.V";"NWN_Q1412",#N/A,FALSE,"Q1412_1"}</definedName>
    <definedName name="Смета_2" hidden="1">{"NWN_Q1810",#N/A,FALSE,"Q1810_1.V";"NWN_Q1412",#N/A,FALSE,"Q1412_1"}</definedName>
    <definedName name="Смета_2_1" hidden="1">{"NWN_Q1810",#N/A,FALSE,"Q1810_1.V";"NWN_Q1412",#N/A,FALSE,"Q1412_1"}</definedName>
    <definedName name="Смета_2005">#REF!</definedName>
    <definedName name="Смета_21" hidden="1">{"NWN_Q1810",#N/A,FALSE,"Q1810_1.V";"NWN_Q1412",#N/A,FALSE,"Q1412_1"}</definedName>
    <definedName name="Смета_21_1" hidden="1">{"NWN_Q1810",#N/A,FALSE,"Q1810_1.V";"NWN_Q1412",#N/A,FALSE,"Q1412_1"}</definedName>
    <definedName name="Сметная_стоимость_в_базисных_ценах">#REF!</definedName>
    <definedName name="Сметная_стоимость_в_текущих_ценах__после_применения_индексов">#REF!</definedName>
    <definedName name="Сметная_стоимость_по_ресурсному_расчету">#REF!</definedName>
    <definedName name="сми" hidden="1">{"NWN_Q1810",#N/A,FALSE,"Q1810_1.V";"NWN_Q1412",#N/A,FALSE,"Q1412_1"}</definedName>
    <definedName name="СМП">#REF!</definedName>
    <definedName name="смпр" hidden="1">{"NWN_Q1810",#N/A,FALSE,"Q1810_1.V";"NWN_Q1412",#N/A,FALSE,"Q1412_1"}</definedName>
    <definedName name="СМР">#REF!</definedName>
    <definedName name="СМР_георешетка">#REF!</definedName>
    <definedName name="смрПТПС">#REF!</definedName>
    <definedName name="смрСТГ">#REF!</definedName>
    <definedName name="СН" localSheetId="0" hidden="1">Main.SAPF4Help()</definedName>
    <definedName name="СН" localSheetId="2" hidden="1">Main.SAPF4Help()</definedName>
    <definedName name="СН" localSheetId="1" hidden="1">Main.SAPF4Help()</definedName>
    <definedName name="СН" hidden="1">Main.SAPF4Help()</definedName>
    <definedName name="сн_рк">#REF!</definedName>
    <definedName name="СНГ">#REF!</definedName>
    <definedName name="Снегоборьба">#REF!</definedName>
    <definedName name="СНИЖ" hidden="1">{#N/A,#N/A,FALSE,"ZAP_FEB.XLS "}</definedName>
    <definedName name="СНС" hidden="1">{"NWN_Q1810",#N/A,FALSE,"Q1810_1.V";"NWN_Q1412",#N/A,FALSE,"Q1412_1"}</definedName>
    <definedName name="СНС_1" hidden="1">{"NWN_Q1810",#N/A,FALSE,"Q1810_1.V";"NWN_Q1412",#N/A,FALSE,"Q1412_1"}</definedName>
    <definedName name="Соловьев" hidden="1">#REF!,#REF!</definedName>
    <definedName name="соль" hidden="1">{"Смета_Ц1",#N/A,FALSE,"Сметы_затрат_по_цехам"}</definedName>
    <definedName name="сост" hidden="1">{#N/A,#N/A,FALSE,"ZAP_FEB.XLS "}</definedName>
    <definedName name="состse" hidden="1">{#N/A,#N/A,FALSE,"ZAP_FEB.XLS "}</definedName>
    <definedName name="состав" hidden="1">{#N/A,#N/A,FALSE,"ZAP_FEB.XLS "}</definedName>
    <definedName name="Составил">#REF!</definedName>
    <definedName name="СОСТЬ" hidden="1">{#N/A,#N/A,FALSE,"ZAP_FEB.XLS "}</definedName>
    <definedName name="сп">#REF!</definedName>
    <definedName name="справка" hidden="1">{"План товар",#N/A,FALSE,"товар"}</definedName>
    <definedName name="ср" hidden="1">{"План продаж",#N/A,FALSE,"товар"}</definedName>
    <definedName name="сравн.2" hidden="1">#REF!</definedName>
    <definedName name="срок">#REF!</definedName>
    <definedName name="сс" hidden="1">{#N/A,#N/A,FALSE,"ZAP_FEB.XLS "}</definedName>
    <definedName name="ссммрр">#REF!</definedName>
    <definedName name="ссс" hidden="1">#REF!,#REF!,#REF!</definedName>
    <definedName name="сссааа" hidden="1">{"NWN_Q1810",#N/A,FALSE,"Q1810_1.V";"NWN_Q1412",#N/A,FALSE,"Q1412_1"}</definedName>
    <definedName name="ссспро">#REF!</definedName>
    <definedName name="сссс" hidden="1">#REF!</definedName>
    <definedName name="ссссс" hidden="1">#REF!</definedName>
    <definedName name="сссссс" hidden="1">#REF!</definedName>
    <definedName name="сссссссссс" hidden="1">#REF!,#REF!,#REF!,#REF!,#REF!,#REF!</definedName>
    <definedName name="ССЭ">#REF!</definedName>
    <definedName name="сталь" hidden="1">{#N/A,#N/A,TRUE,"Лист2"}</definedName>
    <definedName name="стас" hidden="1">#REF!,#REF!,#REF!,#REF!</definedName>
    <definedName name="Статья_ИТ" hidden="1">#REF!</definedName>
    <definedName name="СТг" hidden="1">{"Товар.выработка без продаж",#N/A,FALSE,"товар"}</definedName>
    <definedName name="СТГм4i\" hidden="1">#REF!,#REF!</definedName>
    <definedName name="стерл" hidden="1">#REF!</definedName>
    <definedName name="Стеснённый_коэфф">#REF!</definedName>
    <definedName name="сто">#REF!</definedName>
    <definedName name="сто2">#REF!</definedName>
    <definedName name="стоимости_МТР_поставки_Заказчика">#REF!</definedName>
    <definedName name="Стоимость_геотекстиля">#REF!</definedName>
    <definedName name="Стоимость_по_акту_выполненных_работ_в_базисных_ценах">#REF!</definedName>
    <definedName name="Стоимость_по_акту_выполненных_работ_при_ресурсном_расчете">#REF!</definedName>
    <definedName name="стоимость_пок_сырья">#REF!</definedName>
    <definedName name="стоимость_трансп">#REF!</definedName>
    <definedName name="Стоимость_укладки_геотекстиля">#REF!</definedName>
    <definedName name="Сторон">#REF!</definedName>
    <definedName name="стр.5112" hidden="1">{#N/A,#N/A,FALSE,"Aging Summary";#N/A,#N/A,FALSE,"Ratio Analysis";#N/A,#N/A,FALSE,"Test 120 Day Accts";#N/A,#N/A,FALSE,"Tickmarks"}</definedName>
    <definedName name="Стр1">#REF!</definedName>
    <definedName name="Стр2">#REF!</definedName>
    <definedName name="стр21">#REF!</definedName>
    <definedName name="СтранноеИмя" localSheetId="0" hidden="1">Main.SAPF4Help()</definedName>
    <definedName name="СтранноеИмя" localSheetId="2" hidden="1">Main.SAPF4Help()</definedName>
    <definedName name="СтранноеИмя" localSheetId="1" hidden="1">Main.SAPF4Help()</definedName>
    <definedName name="СтранноеИмя" hidden="1">Main.SAPF4Help()</definedName>
    <definedName name="Строительные_работы_в_базисных_ценах">#REF!</definedName>
    <definedName name="Строительные_работы_в_текущих_ценах">#REF!</definedName>
    <definedName name="Строительные_работы_в_текущих_ценах_по_ресурсному_расчету">#REF!</definedName>
    <definedName name="Строительные_работы_в_текущих_ценах_после_применения_индексов">#REF!</definedName>
    <definedName name="стык">#REF!</definedName>
    <definedName name="стыки">#REF!</definedName>
    <definedName name="СУГ" hidden="1">{"Table A,pg 1",#N/A,FALSE,"Table A-Prov GUR";"Table A,pg 2",#N/A,FALSE,"Table A-Prov GUR"}</definedName>
    <definedName name="суд">#REF!</definedName>
    <definedName name="Сумма">#REF!</definedName>
    <definedName name="сут">#REF!</definedName>
    <definedName name="СХ">#REF!</definedName>
    <definedName name="СХ1">#REF!</definedName>
    <definedName name="Схема">#REF!</definedName>
    <definedName name="сч" hidden="1">{"Товар.выработка без продаж",#N/A,FALSE,"товар"}</definedName>
    <definedName name="сыр" hidden="1">{"План продаж",#N/A,FALSE,"товар"}</definedName>
    <definedName name="Сырье" hidden="1">{"План продаж",#N/A,FALSE,"товар"}</definedName>
    <definedName name="т">#REF!</definedName>
    <definedName name="т1">#REF!</definedName>
    <definedName name="т11">#REF!</definedName>
    <definedName name="т12">#REF!</definedName>
    <definedName name="т13">#REF!</definedName>
    <definedName name="т14">#REF!</definedName>
    <definedName name="т15">#REF!</definedName>
    <definedName name="т16">#REF!</definedName>
    <definedName name="т17">#REF!</definedName>
    <definedName name="т18">#REF!</definedName>
    <definedName name="т19">#REF!</definedName>
    <definedName name="т20">#REF!</definedName>
    <definedName name="т21">#REF!</definedName>
    <definedName name="т22">#REF!</definedName>
    <definedName name="т23">#REF!</definedName>
    <definedName name="т24">#REF!</definedName>
    <definedName name="т25">#REF!</definedName>
    <definedName name="т26">#REF!</definedName>
    <definedName name="т27">#REF!</definedName>
    <definedName name="т28">#REF!</definedName>
    <definedName name="т29">#REF!</definedName>
    <definedName name="т30">#REF!</definedName>
    <definedName name="т31">#REF!</definedName>
    <definedName name="т32">#REF!</definedName>
    <definedName name="т33">#REF!</definedName>
    <definedName name="т34">#REF!</definedName>
    <definedName name="т35">#REF!</definedName>
    <definedName name="т36">#REF!</definedName>
    <definedName name="т37">#REF!</definedName>
    <definedName name="т38">#REF!</definedName>
    <definedName name="т39">#REF!</definedName>
    <definedName name="т40">#REF!</definedName>
    <definedName name="т41">#REF!</definedName>
    <definedName name="т42">#REF!</definedName>
    <definedName name="т43">#REF!</definedName>
    <definedName name="т44">#REF!</definedName>
    <definedName name="т45">#REF!</definedName>
    <definedName name="т46">#REF!</definedName>
    <definedName name="т47">#REF!</definedName>
    <definedName name="т48">#REF!</definedName>
    <definedName name="т49">#REF!</definedName>
    <definedName name="т5" hidden="1">{"'Sheet1'!$A$1:$G$96","'Sheet1'!$A$1:$H$96"}</definedName>
    <definedName name="т50">#REF!</definedName>
    <definedName name="т51">#REF!</definedName>
    <definedName name="т52">#REF!</definedName>
    <definedName name="т53">#REF!</definedName>
    <definedName name="т54">#REF!</definedName>
    <definedName name="т55">#REF!</definedName>
    <definedName name="т56">#REF!</definedName>
    <definedName name="т57">#REF!</definedName>
    <definedName name="т58">#REF!</definedName>
    <definedName name="т59">#REF!</definedName>
    <definedName name="т60">#REF!</definedName>
    <definedName name="т7" hidden="1">{"'Sheet1'!$A$1:$G$96","'Sheet1'!$A$1:$H$96"}</definedName>
    <definedName name="таб" hidden="1">#REF!</definedName>
    <definedName name="таблица" hidden="1">{#N/A,#N/A,FALSE,"Infl_fact"}</definedName>
    <definedName name="Таблица41">#REF!</definedName>
    <definedName name="тагул" hidden="1">#REF!</definedName>
    <definedName name="таня">#REF!</definedName>
    <definedName name="тар">#REF!</definedName>
    <definedName name="Тарифы">#REF!</definedName>
    <definedName name="тарр">#REF!</definedName>
    <definedName name="тб" hidden="1">{"Товар.выработка без продаж",#N/A,FALSE,"товар"}</definedName>
    <definedName name="тварь" hidden="1">{"баланс",#N/A,TRUE,"Баланс  на  декабрь"}</definedName>
    <definedName name="тдл" hidden="1">#REF!</definedName>
    <definedName name="ТЕ" hidden="1">{"Прибыль прокатн",#N/A,FALSE,"Прокатн"}</definedName>
    <definedName name="Текст1_Щелкнуть" localSheetId="0">#REF!</definedName>
    <definedName name="Текст1_Щелкнуть" localSheetId="2">#REF!</definedName>
    <definedName name="Текст1_Щелкнуть" localSheetId="1">#REF!</definedName>
    <definedName name="Текст1_Щелкнуть">#REF!</definedName>
    <definedName name="тел" hidden="1">{#N/A,#N/A,FALSE,"ZAP_FEB.XLS "}</definedName>
    <definedName name="телефоны" hidden="1">{#N/A,#N/A,FALSE,"ZAP_FEB.XLS "}</definedName>
    <definedName name="тепла" hidden="1">{"'СВОДКА январь 2004'!$BB$5"}</definedName>
    <definedName name="тепло2" hidden="1">{"'СВОДКА январь 2004'!$BB$5"}</definedName>
    <definedName name="Территориальная_поправка_к_ТЕР">#REF!</definedName>
    <definedName name="Техника" hidden="1">{"Товар.выработка без продаж",#N/A,FALSE,"товар"}</definedName>
    <definedName name="тик" hidden="1">{"Товар.выработка без продаж",#N/A,FALSE,"товар"}</definedName>
    <definedName name="тим" hidden="1">{"NWN_Q1810",#N/A,FALSE,"Q1810_1.V";"NWN_Q1412",#N/A,FALSE,"Q1412_1"}</definedName>
    <definedName name="тима" hidden="1">{"'СВОДКА январь 2004'!$BB$5"}</definedName>
    <definedName name="тимс" hidden="1">{"NWN_Q1810",#N/A,FALSE,"Q1810_1.V";"NWN_Q1412",#N/A,FALSE,"Q1412_1"}</definedName>
    <definedName name="тимсч" hidden="1">{"balance",#N/A,FALSE,"Remedy-model";"calendar quarterly",#N/A,FALSE,"Remedy-model";"cash flow",#N/A,FALSE,"Remedy-model";"fiscal quarter",#N/A,FALSE,"Remedy-model";"income",#N/A,FALSE,"Remedy-model";"percentage",#N/A,FALSE,"Remedy-model"}</definedName>
    <definedName name="тип">#REF!</definedName>
    <definedName name="ТИПОРАЗМЕРЫ">#REF!</definedName>
    <definedName name="тир" hidden="1">{"Товар.выработка без продаж",#N/A,FALSE,"товар"}</definedName>
    <definedName name="ТК">#REF!</definedName>
    <definedName name="ТН">#REF!</definedName>
    <definedName name="тоб" hidden="1">#REF!</definedName>
    <definedName name="Товар" hidden="1">{"Товар.выработка без продаж",#N/A,FALSE,"товар"}</definedName>
    <definedName name="товобмен">#REF!</definedName>
    <definedName name="тоолдд" hidden="1">#REF!</definedName>
    <definedName name="тоор" hidden="1">{"AnalRSA",#N/A,TRUE,"PL-Anal";"AnalIAS",#N/A,TRUE,"PL-Anal"}</definedName>
    <definedName name="топл.газ">#REF!</definedName>
    <definedName name="ТОПЛИВО" hidden="1">{#N/A,#N/A,FALSE,"СЫРЬЕ";#N/A,#N/A,FALSE,"ПОКУП_ВОДА";#N/A,#N/A,FALSE,"ПОКУП_ЭЛЕКТР";#N/A,#N/A,FALSE,"РЕАГ_КАТАЛ";#N/A,#N/A,FALSE,"ПРОЧИЕ_ЗАТР";#N/A,#N/A,FALSE,"УСЛУГИ_ПРОМХАР";#N/A,#N/A,FALSE,"СМЕТА";#N/A,#N/A,FALSE,"СМЕТА_ТЕКРЕМ";#N/A,#N/A,FALSE,"СМЕТА_СЭО";#N/A,#N/A,FALSE,"РАСШИФ_ЦЕХ_РАСХ";#N/A,#N/A,FALSE,"РАСПРЕД ПО ПРОЦЕСС";#N/A,#N/A,FALSE,"Распред_общезав";#N/A,#N/A,FALSE,"СВОД";"Смета_АвтодорУчЦ13",#N/A,FALSE,"Сметы_затрат_по_цехам";"Смета_АКС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комб_питан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НХП",#N/A,FALSE,"Сметы_затрат_по_цехам";"Смета_ОчСоор",#N/A,FALSE,"Сметы_затрат_по_цехам";"Смета_УстанСеры",#N/A,FALSE,"Сметы_затрат_по_цехам";"Смета_УТИМ",#N/A,FALSE,"Сметы_затрат_по_цехам";"Смета_Ц1",#N/A,FALSE,"Сметы_затрат_по_цехам";"Смета_Ц10",#N/A,FALSE,"Сметы_затрат_по_цехам";"Смета_Ц12",#N/A,FALSE,"Сметы_затрат_по_цехам";"смета_Ц14",#N/A,FALSE,"Сметы_затрат_по_цехам";"Смета_Ц16",#N/A,FALSE,"Сметы_затрат_по_цехам";"Смета_Ц17",#N/A,FALSE,"Сметы_затрат_по_цехам";"Смета_Ц3",#N/A,FALSE,"Сметы_затрат_по_цехам";"Смета_Ц5",#N/A,FALSE,"Сметы_затрат_по_цехам";"Смета_Ц6",#N/A,FALSE,"Сметы_затрат_по_цехам";"Смета_Ц7",#N/A,FALSE,"Сметы_затрат_по_цехам";"Смета_Ц9",#N/A,FALSE,"Сметы_затрат_по_цехам";"Смета_ЦВК",#N/A,FALSE,"Сметы_затрат_по_цехам";"Смета_ЦЗЛ",#N/A,FALSE,"Сметы_затрат_по_цехам";"Смета_ЦРХ",#N/A,FALSE,"Сметы_затрат_по_цехам";"Внутризав_перекачка",#N/A,FALSE,"Распределение_затрат";"Распределение_КИПиА",#N/A,FALSE,"Распределение_затрат";"Распределение_услуг_РМЦ",#N/A,FALSE,"Распределение_затрат";"Распределение_химочищен_воды",#N/A,FALSE,"Распределение_затрат";"Распределение_хозпит_воды",#N/A,FALSE,"Распределение_затрат";"Расчет_азота",#N/A,FALSE,"Распределение_затрат";"Расчет_воды",#N/A,FALSE,"Распределение_затрат";"Расчет_сж_воздуха",#N/A,FALSE,"Распределение_затрат";"Расчет_теплоэнер",#N/A,FALSE,"Распределение_затрат";"Топливо_собств_нужды",#N/A,FALSE,"Распределение_затрат";"Услуги_УТИМ",#N/A,FALSE,"Распределение_затрат"}</definedName>
    <definedName name="тп" hidden="1">{#N/A,#N/A,TRUE,"Лист1";#N/A,#N/A,TRUE,"Лист2";#N/A,#N/A,TRUE,"Лист3"}</definedName>
    <definedName name="Трансмонолит" hidden="1">{"konoplin - Личное представление",#N/A,TRUE,"ФинПлан_1кв";"konoplin - Личное представление",#N/A,TRUE,"ФинПлан_2кв"}</definedName>
    <definedName name="Транспорт1" localSheetId="0" hidden="1">Main.SAPF4Help()</definedName>
    <definedName name="Транспорт1" localSheetId="2" hidden="1">Main.SAPF4Help()</definedName>
    <definedName name="Транспорт1" localSheetId="1" hidden="1">Main.SAPF4Help()</definedName>
    <definedName name="Транспорт1" hidden="1">Main.SAPF4Help()</definedName>
    <definedName name="трейдер">#REF!</definedName>
    <definedName name="трет">#REF!</definedName>
    <definedName name="третий">#REF!</definedName>
    <definedName name="Третья_декада">#REF!</definedName>
    <definedName name="тро">#REF!</definedName>
    <definedName name="трр" localSheetId="0" hidden="1">Main.SAPF4Help()</definedName>
    <definedName name="трр" localSheetId="2" hidden="1">Main.SAPF4Help()</definedName>
    <definedName name="трр" localSheetId="1" hidden="1">Main.SAPF4Help()</definedName>
    <definedName name="трр" hidden="1">Main.SAPF4Help()</definedName>
    <definedName name="тру">CONCATENATE(#REF!,#REF!)</definedName>
    <definedName name="труба1" hidden="1">#REF!,#REF!</definedName>
    <definedName name="Трубопроводы1" hidden="1">#REF!</definedName>
    <definedName name="труд">#REF!</definedName>
    <definedName name="Труд_механизаторов_по_акту_вып_работ_с_учетом_к_тов">#REF!</definedName>
    <definedName name="Труд_основн_рабочих_по_акту_вып_работ_с_учетом_к_тов">#REF!</definedName>
    <definedName name="Трудоемкость_механизаторов_по_акту_выполненных_работ">#REF!</definedName>
    <definedName name="Трудоемкость_основных_рабочих_по_акту_выполненных_работ">#REF!</definedName>
    <definedName name="тряпка" hidden="1">{"баланс",#N/A,TRUE,"Баланс  на  декабрь"}</definedName>
    <definedName name="ТССВНГ" hidden="1">{"NWN_Q1810",#N/A,FALSE,"Q1810_1.V";"NWN_Q1412",#N/A,FALSE,"Q1412_1"}</definedName>
    <definedName name="тт" hidden="1">{"Товар.выработка без продаж",#N/A,FALSE,"товар"}</definedName>
    <definedName name="ттт" localSheetId="0" hidden="1">Main.SAPF4Help()</definedName>
    <definedName name="ттт" localSheetId="2" hidden="1">Main.SAPF4Help()</definedName>
    <definedName name="ттт" localSheetId="1" hidden="1">Main.SAPF4Help()</definedName>
    <definedName name="ттт" hidden="1">Main.SAPF4Help()</definedName>
    <definedName name="ттттббб" hidden="1">{"Прибыль ЗАП",#N/A,FALSE,"ЗАП"}</definedName>
    <definedName name="тттттттт" hidden="1">{"План продаж",#N/A,FALSE,"товар"}</definedName>
    <definedName name="ттттттттттттллллл" hidden="1">{"Valuation_Common",#N/A,FALSE,"Valuation"}</definedName>
    <definedName name="тук" hidden="1">{"Товар.выработка без продаж",#N/A,FALSE,"товар"}</definedName>
    <definedName name="тул" hidden="1">{"План продаж",#N/A,FALSE,"товар"}</definedName>
    <definedName name="ТФ" hidden="1">{"Прибыль СаМеКо",#N/A,FALSE,"Итог СаМеКо"}</definedName>
    <definedName name="тц">#REF!</definedName>
    <definedName name="тчк">#REF!</definedName>
    <definedName name="ты">#REF!</definedName>
    <definedName name="тык" hidden="1">{"План продаж",#N/A,FALSE,"товар"}</definedName>
    <definedName name="тьаь">#REF!</definedName>
    <definedName name="ТЭ" hidden="1">{"баланс",#N/A,TRUE,"Баланс  на  декабрь"}</definedName>
    <definedName name="ТЭО" hidden="1">{"баланс",#N/A,TRUE,"Баланс  на  декабрь"}</definedName>
    <definedName name="тэп">#REF!</definedName>
    <definedName name="тэп02008" localSheetId="0" hidden="1">Main.SAPF4Help()</definedName>
    <definedName name="тэп02008" localSheetId="2" hidden="1">Main.SAPF4Help()</definedName>
    <definedName name="тэп02008" localSheetId="1" hidden="1">Main.SAPF4Help()</definedName>
    <definedName name="тэп02008" hidden="1">Main.SAPF4Help()</definedName>
    <definedName name="тэп2008" localSheetId="0" hidden="1">Main.SAPF4Help()</definedName>
    <definedName name="тэп2008" localSheetId="2" hidden="1">Main.SAPF4Help()</definedName>
    <definedName name="тэп2008" localSheetId="1" hidden="1">Main.SAPF4Help()</definedName>
    <definedName name="тэп2008" hidden="1">Main.SAPF4Help()</definedName>
    <definedName name="у">#REF!</definedName>
    <definedName name="у2" hidden="1">{"План товар",#N/A,FALSE,"товар"}</definedName>
    <definedName name="уегшщл" hidden="1">#REF!</definedName>
    <definedName name="уек" hidden="1">{"баланс",#N/A,TRUE,"Баланс  на  декабрь"}</definedName>
    <definedName name="уекуеке">#REF!</definedName>
    <definedName name="узел22">#REF!</definedName>
    <definedName name="укакцуакца" hidden="1">#REF!</definedName>
    <definedName name="укеееукеееееееееееееее" hidden="1">{#N/A,#N/A,TRUE,"Лист1";#N/A,#N/A,TRUE,"Лист2";#N/A,#N/A,TRUE,"Лист3"}</definedName>
    <definedName name="укеукеуеуе" hidden="1">{#N/A,#N/A,TRUE,"Лист1";#N/A,#N/A,TRUE,"Лист2";#N/A,#N/A,TRUE,"Лист3"}</definedName>
    <definedName name="укладка_бордюра">#REF!</definedName>
    <definedName name="укладка_плиты">#REF!</definedName>
    <definedName name="Украина">#REF!</definedName>
    <definedName name="Украина__Галичина">#REF!</definedName>
    <definedName name="Украина__прочие">#REF!</definedName>
    <definedName name="Укрупненный_норматив_НР_для_расчета_в_текущих_ценах_и_ценах_2001г.">#REF!</definedName>
    <definedName name="Укрупненный_норматив_НР_для_расчета_в_ценах_1984г.">#REF!</definedName>
    <definedName name="Укрупненный_норматив_СП_для_расчета_в_текущих_ценах_и_ценах_2001г.">#REF!</definedName>
    <definedName name="Укрупненный_норматив_СП_для_расчета_в_ценах_1984г.">#REF!</definedName>
    <definedName name="УМТО" hidden="1">{"BS1",#N/A,TRUE,"RSA_FS";"BS2",#N/A,TRUE,"RSA_FS";"BS3",#N/A,TRUE,"RSA_FS"}</definedName>
    <definedName name="управл" hidden="1">{#N/A,#N/A,TRUE,"Лист1";#N/A,#N/A,TRUE,"Лист2";#N/A,#N/A,TRUE,"Лист3"}</definedName>
    <definedName name="УПТОК">#REF!</definedName>
    <definedName name="УПТОК___0">#REF!</definedName>
    <definedName name="УПТОК___1">#REF!</definedName>
    <definedName name="УПТОК___10">#REF!</definedName>
    <definedName name="УПТОК___11">#REF!</definedName>
    <definedName name="УПТОК___12">#REF!</definedName>
    <definedName name="УПТОК___13">#REF!</definedName>
    <definedName name="УПТОК___14">#REF!</definedName>
    <definedName name="УПТОК___2">#REF!</definedName>
    <definedName name="УПТОК___3">#REF!</definedName>
    <definedName name="УПТОК___4">#REF!</definedName>
    <definedName name="УПТОК___5">#REF!</definedName>
    <definedName name="УПТОК___6">#REF!</definedName>
    <definedName name="УПТОК___7">#REF!</definedName>
    <definedName name="УПТОК___8">#REF!</definedName>
    <definedName name="УПТОК___9">#REF!</definedName>
    <definedName name="Условие">#REF!</definedName>
    <definedName name="услуги" hidden="1">{#N/A,#N/A,FALSE,"передел"}</definedName>
    <definedName name="Установка_переработки_нефти">#REF!</definedName>
    <definedName name="Установка_переработки_нефти___0">#REF!</definedName>
    <definedName name="Установка_переработки_нефти___1">#REF!</definedName>
    <definedName name="Установка_переработки_нефти___10">#REF!</definedName>
    <definedName name="Установка_переработки_нефти___11">#REF!</definedName>
    <definedName name="Установка_переработки_нефти___12">#REF!</definedName>
    <definedName name="Установка_переработки_нефти___13">#REF!</definedName>
    <definedName name="Установка_переработки_нефти___14">#REF!</definedName>
    <definedName name="Установка_переработки_нефти___2">#REF!</definedName>
    <definedName name="Установка_переработки_нефти___3">#REF!</definedName>
    <definedName name="Установка_переработки_нефти___4">#REF!</definedName>
    <definedName name="Установка_переработки_нефти___5">#REF!</definedName>
    <definedName name="Установка_переработки_нефти___6">#REF!</definedName>
    <definedName name="Установка_переработки_нефти___7">#REF!</definedName>
    <definedName name="Установка_переработки_нефти___8">#REF!</definedName>
    <definedName name="Установка_переработки_нефти___9">#REF!</definedName>
    <definedName name="Установка_подготовки_нефти">#REF!</definedName>
    <definedName name="Установка_подготовки_нефти___0">#REF!</definedName>
    <definedName name="Установка_подготовки_нефти___1">#REF!</definedName>
    <definedName name="Установка_подготовки_нефти___10">#REF!</definedName>
    <definedName name="Установка_подготовки_нефти___12">#REF!</definedName>
    <definedName name="Установка_подготовки_нефти___13">#REF!</definedName>
    <definedName name="Установка_подготовки_нефти___14">#REF!</definedName>
    <definedName name="Установка_подготовки_нефти___2">#REF!</definedName>
    <definedName name="Установка_подготовки_нефти___3">#REF!</definedName>
    <definedName name="Установка_подготовки_нефти___4">#REF!</definedName>
    <definedName name="Установка_подготовки_нефти___5">#REF!</definedName>
    <definedName name="Установка_подготовки_нефти___6">#REF!</definedName>
    <definedName name="Установка_подготовки_нефти___7">#REF!</definedName>
    <definedName name="Установка_подготовки_нефти___8">#REF!</definedName>
    <definedName name="Установка_подготовки_нефти___9">#REF!</definedName>
    <definedName name="утв.">#REF!</definedName>
    <definedName name="утв.___0">#REF!</definedName>
    <definedName name="утв.___8">#REF!</definedName>
    <definedName name="Утв_КБП" hidden="1">#REF!,#REF!</definedName>
    <definedName name="Утил.отх." hidden="1">#REF!</definedName>
    <definedName name="Утил.отходов" hidden="1">#REF!</definedName>
    <definedName name="УУ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УУ_1" hidden="1">{#N/A,#N/A,FALSE,"TOC";#N/A,#N/A,FALSE,"summary";#N/A,#N/A,FALSE,"shares";#N/A,#N/A,FALSE,"DCF";#N/A,#N/A,FALSE,"P&amp;L";#N/A,#N/A,FALSE,"BS";#N/A,#N/A,FALSE,"RATIOS (2)";#N/A,#N/A,FALSE,"captl adqcy";#N/A,#N/A,FALSE,"assets (2)";#N/A,#N/A,FALSE,"liabilities (2)";#N/A,#N/A,FALSE,"P&amp;L (3)";#N/A,#N/A,FALSE,"fixed assets evolution";#N/A,#N/A,FALSE,"real estate";#N/A,#N/A,FALSE,"other";#N/A,#N/A,FALSE,"IT";#N/A,#N/A,FALSE,"discount rate";#N/A,#N/A,FALSE,"Risk free";#N/A,#N/A,FALSE,"Beta";#N/A,#N/A,FALSE,"ERP";#N/A,#N/A,FALSE,"Hungbanks"}</definedName>
    <definedName name="уукк" hidden="1">#REF!</definedName>
    <definedName name="ууу" hidden="1">{"IASTrail",#N/A,FALSE,"IAS"}</definedName>
    <definedName name="уууууууууууууууууууууууууууууу" hidden="1">#N/A</definedName>
    <definedName name="уЦЕФЦПЕЯЫУЕПАФЯ" hidden="1">{"Input",#N/A,TRUE,"Control";"Summary",#N/A,TRUE,"Control";"NCF",#N/A,TRUE,"Control"}</definedName>
    <definedName name="ф" hidden="1">{#N/A,#N/A,FALSE,"Aging Summary";#N/A,#N/A,FALSE,"Ratio Analysis";#N/A,#N/A,FALSE,"Test 120 Day Accts";#N/A,#N/A,FALSE,"Tickmarks"}</definedName>
    <definedName name="ф1" hidden="1">{"Товар.выработка без продаж",#N/A,FALSE,"товар"}</definedName>
    <definedName name="Ф1523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ф2" hidden="1">#REF!</definedName>
    <definedName name="ф3" hidden="1">#REF!</definedName>
    <definedName name="ф4" hidden="1">#REF!</definedName>
    <definedName name="ф5" hidden="1">#REF!</definedName>
    <definedName name="Ф5.4С" hidden="1">{"print95",#N/A,FALSE,"1995E.XLS";"print96",#N/A,FALSE,"1996E.XLS"}</definedName>
    <definedName name="ф6" hidden="1">#REF!</definedName>
    <definedName name="ф7" hidden="1">#REF!</definedName>
    <definedName name="ф8" hidden="1">#REF!</definedName>
    <definedName name="ф9" hidden="1">{"'Sheet1'!$A$1:$G$96","'Sheet1'!$A$1:$H$96"}</definedName>
    <definedName name="факт" hidden="1">{"Товар.выработка без продаж",#N/A,FALSE,"товар"}</definedName>
    <definedName name="фаыр" hidden="1">{#N/A,#N/A,FALSE,"Aging Summary";#N/A,#N/A,FALSE,"Ratio Analysis";#N/A,#N/A,FALSE,"Test 120 Day Accts";#N/A,#N/A,FALSE,"Tickmarks"}</definedName>
    <definedName name="фвы" hidden="1">#REF!</definedName>
    <definedName name="ФГ">#REF!</definedName>
    <definedName name="февраль" localSheetId="0" hidden="1">Main.SAPF4Help()</definedName>
    <definedName name="февраль" localSheetId="2" hidden="1">Main.SAPF4Help()</definedName>
    <definedName name="февраль" localSheetId="1" hidden="1">Main.SAPF4Help()</definedName>
    <definedName name="февраль" hidden="1">Main.SAPF4Help()</definedName>
    <definedName name="Феодосия__Броды">#REF!</definedName>
    <definedName name="Феодосия__НПЗ">#REF!</definedName>
    <definedName name="Феодосия__Тихорецкая">#REF!</definedName>
    <definedName name="Феодосия__Херсон">#REF!</definedName>
    <definedName name="Феодоссия">#REF!</definedName>
    <definedName name="фига" hidden="1">{#N/A,#N/A,TRUE,"ИсхМстржд";#N/A,#N/A,TRUE,"Исх-Центр";#N/A,#N/A,TRUE,"Исх-2рт ";#N/A,#N/A,TRUE,"Исх-2рт ";#N/A,#N/A,TRUE,"Исх-3рт";#N/A,#N/A,TRUE,"Вар1";#N/A,#N/A,TRUE,"Вар2";#N/A,#N/A,TRUE,"Вар2-блоки";#N/A,#N/A,TRUE,"В3-Центр";#N/A,#N/A,TRUE,"В3-2рт";#N/A,#N/A,TRUE,"В3-3рт"}</definedName>
    <definedName name="фик" hidden="1">{"План продаж",#N/A,FALSE,"товар"}</definedName>
    <definedName name="ФинПланФакт" hidden="1">{"konoplin - Личное представление",#N/A,TRUE,"ФинПлан_1кв";"konoplin - Личное представление",#N/A,TRUE,"ФинПлан_2кв"}</definedName>
    <definedName name="Фомин" hidden="1">{"План продаж",#N/A,FALSE,"товар"}</definedName>
    <definedName name="Фомин1" hidden="1">{"Товар.выработка без продаж",#N/A,FALSE,"товар"}</definedName>
    <definedName name="Фомин2" hidden="1">{"План товар",#N/A,FALSE,"товар"}</definedName>
    <definedName name="форма" hidden="1">{#N/A,#N/A,FALSE,"FA_1";#N/A,#N/A,FALSE,"Dep'n SE";#N/A,#N/A,FALSE,"Dep'n FC"}</definedName>
    <definedName name="ФОТ">#REF!</definedName>
    <definedName name="фотм">#REF!</definedName>
    <definedName name="фотр">#REF!</definedName>
    <definedName name="фп." hidden="1">#REF!,#REF!,#REF!,#REF!,#REF!,#REF!,#REF!</definedName>
    <definedName name="фукп" localSheetId="0" hidden="1">Main.SAPF4Help()</definedName>
    <definedName name="фукп" localSheetId="2" hidden="1">Main.SAPF4Help()</definedName>
    <definedName name="фукп" localSheetId="1" hidden="1">Main.SAPF4Help()</definedName>
    <definedName name="фукп" hidden="1">Main.SAPF4Help()</definedName>
    <definedName name="фум">#REF!</definedName>
    <definedName name="Функц_напр_затрат" hidden="1">#REF!</definedName>
    <definedName name="фуууууу" hidden="1">{"баланс",#N/A,TRUE,"Баланс  на  декабрь"}</definedName>
    <definedName name="фф" hidden="1">{#N/A,#N/A,TRUE,"Engineering Dept";#N/A,#N/A,TRUE,"Sales Dept";#N/A,#N/A,TRUE,"Marketing Dept";#N/A,#N/A,TRUE,"Admin Dept"}</definedName>
    <definedName name="фф_1" hidden="1">{#N/A,#N/A,TRUE,"Engineering Dept";#N/A,#N/A,TRUE,"Sales Dept";#N/A,#N/A,TRUE,"Marketing Dept";#N/A,#N/A,TRUE,"Admin Dept"}</definedName>
    <definedName name="фф_5">#REF!</definedName>
    <definedName name="ффва">#REF!</definedName>
    <definedName name="ффф">#REF!</definedName>
    <definedName name="ффффф" hidden="1">{"NWN_Q1810",#N/A,FALSE,"Q1810_1.V";"NWN_Q1412",#N/A,FALSE,"Q1412_1"}</definedName>
    <definedName name="фы" hidden="1">#REF!</definedName>
    <definedName name="фы3" hidden="1">{"'Sheet1'!$A$1:$G$96","'Sheet1'!$A$1:$H$96"}</definedName>
    <definedName name="фыава4" hidden="1">{"'Sheet1'!$A$1:$G$96","'Sheet1'!$A$1:$H$96"}</definedName>
    <definedName name="фыв">#REF!</definedName>
    <definedName name="фыв3" hidden="1">{"'Sheet1'!$A$1:$G$96","'Sheet1'!$A$1:$H$96"}</definedName>
    <definedName name="фыва">#REF!</definedName>
    <definedName name="фывап" hidden="1">{"Input",#N/A,TRUE,"Control";"Summary",#N/A,TRUE,"Control";"NCF",#N/A,TRUE,"Control"}</definedName>
    <definedName name="фывф" hidden="1">#REF!</definedName>
    <definedName name="фывфы">#REF!</definedName>
    <definedName name="фыф" hidden="1">{#N/A,#N/A,FALSE,"ZAP_FEB.XLS "}</definedName>
    <definedName name="фыц" hidden="1">{"NWN_Q1810",#N/A,FALSE,"Q1810_1.V";"NWN_Q1412",#N/A,FALSE,"Q1412_1"}</definedName>
    <definedName name="х" hidden="1">{"Товар.выработка без продаж",#N/A,FALSE,"товар"}</definedName>
    <definedName name="Химвода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Хорватия">#REF!</definedName>
    <definedName name="хуй" hidden="1">#REF!</definedName>
    <definedName name="хх" hidden="1">{"План товар",#N/A,FALSE,"товар"}</definedName>
    <definedName name="хха" hidden="1">#REF!</definedName>
    <definedName name="ххх">#REF!,#REF!,#REF!</definedName>
    <definedName name="ц" hidden="1">#REF!</definedName>
    <definedName name="ц__бал">#REF!</definedName>
    <definedName name="ц__бетон">#REF!</definedName>
    <definedName name="Ц__битум">#REF!</definedName>
    <definedName name="Ц__грунт">#REF!</definedName>
    <definedName name="Ц__кислород">#REF!</definedName>
    <definedName name="Ц__лист">#REF!</definedName>
    <definedName name="ц__ПРАЙМЕР">#REF!</definedName>
    <definedName name="ц__ПРОПАН">#REF!</definedName>
    <definedName name="ц__СВАЯ">#REF!</definedName>
    <definedName name="ц__ТРУБА">#REF!</definedName>
    <definedName name="ц__трубагс">#REF!</definedName>
    <definedName name="ц__ЩВЕЛЕР">#REF!</definedName>
    <definedName name="ц__эмаль">#REF!</definedName>
    <definedName name="ц_205">#REF!</definedName>
    <definedName name="Ц_273">#REF!</definedName>
    <definedName name="ц_273_1">#REF!</definedName>
    <definedName name="Ц_273с">#REF!</definedName>
    <definedName name="Ц_325">#REF!</definedName>
    <definedName name="Ц_325с">#REF!</definedName>
    <definedName name="Ц_326">#REF!</definedName>
    <definedName name="Ц_426">#REF!</definedName>
    <definedName name="Ц_бал">#REF!</definedName>
    <definedName name="Ц_бал30">#REF!</definedName>
    <definedName name="Ц_бетон">#REF!</definedName>
    <definedName name="Ц_битум">#REF!</definedName>
    <definedName name="Ц_грунт">#REF!</definedName>
    <definedName name="Ц_кислород">#REF!</definedName>
    <definedName name="Ц_лист">#REF!</definedName>
    <definedName name="Ц_праймер">#REF!</definedName>
    <definedName name="Ц_прол">#REF!</definedName>
    <definedName name="Ц_пропан">#REF!</definedName>
    <definedName name="Ц_свая">#REF!</definedName>
    <definedName name="Ц_труба2с">#REF!</definedName>
    <definedName name="Ц_трубаГС">#REF!</definedName>
    <definedName name="Ц_швелл">#REF!</definedName>
    <definedName name="Ц_электрод">#REF!</definedName>
    <definedName name="Ц_эмаль">#REF!</definedName>
    <definedName name="ц1" hidden="1">{"План продаж",#N/A,FALSE,"товар"}</definedName>
    <definedName name="ц35к" hidden="1">{"План товар",#N/A,FALSE,"товар"}</definedName>
    <definedName name="цв" hidden="1">{"План продаж",#N/A,FALSE,"товар"}</definedName>
    <definedName name="цена">#REF!</definedName>
    <definedName name="Цена1">#REF!</definedName>
    <definedName name="Цена2">#REF!</definedName>
    <definedName name="Цена3">#REF!</definedName>
    <definedName name="Цена4">#REF!</definedName>
    <definedName name="Цена5">#REF!</definedName>
    <definedName name="Цена6">#REF!</definedName>
    <definedName name="Цены">{"A  Assumptions";"B  Sources and Uses";"C  Capitalization";"D  Balance Sheet";"E  Income Statement";"F  Mulitiples";"G  Cash Flow";"H  Reserves"}</definedName>
    <definedName name="цех.себ." hidden="1">{#N/A,#N/A,FALSE,"общепр.расх"}</definedName>
    <definedName name="Цех_по_ремонту_ЭПУ">#REF!</definedName>
    <definedName name="Цех_по_ремонту_ЭПУ___0">#REF!</definedName>
    <definedName name="Цех_по_ремонту_ЭПУ___1">#REF!</definedName>
    <definedName name="Цех_по_ремонту_ЭПУ___10">#REF!</definedName>
    <definedName name="Цех_по_ремонту_ЭПУ___11">#REF!</definedName>
    <definedName name="Цех_по_ремонту_ЭПУ___12">#REF!</definedName>
    <definedName name="Цех_по_ремонту_ЭПУ___13">#REF!</definedName>
    <definedName name="Цех_по_ремонту_ЭПУ___14">#REF!</definedName>
    <definedName name="Цех_по_ремонту_ЭПУ___2">#REF!</definedName>
    <definedName name="Цех_по_ремонту_ЭПУ___3">#REF!</definedName>
    <definedName name="Цех_по_ремонту_ЭПУ___4">#REF!</definedName>
    <definedName name="Цех_по_ремонту_ЭПУ___5">#REF!</definedName>
    <definedName name="Цех_по_ремонту_ЭПУ___6">#REF!</definedName>
    <definedName name="Цех_по_ремонту_ЭПУ___7">#REF!</definedName>
    <definedName name="Цех_по_ремонту_ЭПУ___8">#REF!</definedName>
    <definedName name="Цех_по_ремонту_ЭПУ___9">#REF!</definedName>
    <definedName name="цй" hidden="1">{"Table A,pg 1",#N/A,FALSE,"Table A-Prov GUR";"Table A,pg 2",#N/A,FALSE,"Table A-Prov GUR"}</definedName>
    <definedName name="цйуцйуй" hidden="1">{"'Sheet1'!$A$1:$G$96","'Sheet1'!$A$1:$H$96"}</definedName>
    <definedName name="ЦТП1" hidden="1">{"'СВОДКА январь 2004'!$BB$5"}</definedName>
    <definedName name="цу" hidden="1">{#N/A,#N/A,FALSE,"Aging Summary";#N/A,#N/A,FALSE,"Ratio Analysis";#N/A,#N/A,FALSE,"Test 120 Day Accts";#N/A,#N/A,FALSE,"Tickmarks"}</definedName>
    <definedName name="цук" hidden="1">{#N/A,#N/A,FALSE,"Aging Summary";#N/A,#N/A,FALSE,"Ratio Analysis";#N/A,#N/A,FALSE,"Test 120 Day Accts";#N/A,#N/A,FALSE,"Tickmarks"}</definedName>
    <definedName name="цуке" hidden="1">{#N/A,#N/A,FALSE,"передел"}</definedName>
    <definedName name="цукц" hidden="1">#REF!</definedName>
    <definedName name="цуцу" hidden="1">#REF!</definedName>
    <definedName name="цц_бал30">#REF!</definedName>
    <definedName name="цц273">#REF!</definedName>
    <definedName name="цц325сс">#REF!</definedName>
    <definedName name="цц426">#REF!</definedName>
    <definedName name="ццу" hidden="1">{#N/A,#N/A,FALSE,"HMF";#N/A,#N/A,FALSE,"FACIL";#N/A,#N/A,FALSE,"HMFINANCE";#N/A,#N/A,FALSE,"HMEUROPE";#N/A,#N/A,FALSE,"HHAB CONSO";#N/A,#N/A,FALSE,"PAB";#N/A,#N/A,FALSE,"MMC";#N/A,#N/A,FALSE,"THAI";#N/A,#N/A,FALSE,"SINPA";#N/A,#N/A,FALSE,"POLAND"}</definedName>
    <definedName name="ццццццц" hidden="1">{"NWN_Q1810",#N/A,FALSE,"Q1810_1.V";"NWN_Q1412",#N/A,FALSE,"Q1412_1"}</definedName>
    <definedName name="цы" hidden="1">#REF!</definedName>
    <definedName name="цый" localSheetId="0" hidden="1">Main.SAPF4Help()</definedName>
    <definedName name="цый" localSheetId="2" hidden="1">Main.SAPF4Help()</definedName>
    <definedName name="цый" localSheetId="1" hidden="1">Main.SAPF4Help()</definedName>
    <definedName name="цый" hidden="1">Main.SAPF4Help()</definedName>
    <definedName name="цыц" hidden="1">#REF!</definedName>
    <definedName name="цычсву" hidden="1">#REF!</definedName>
    <definedName name="цыыы" hidden="1">#REF!</definedName>
    <definedName name="ч" hidden="1">#REF!</definedName>
    <definedName name="чапрчпр" hidden="1">{"Смета_Ц1",#N/A,FALSE,"Сметы_затрат_по_цехам";"Смета_Ц3",#N/A,FALSE,"Сметы_затрат_по_цехам";"Смета_НХП",#N/A,FALSE,"Сметы_затрат_по_цехам";"Смета_АКС",#N/A,FALSE,"Сметы_затрат_по_цехам";"Смета_ЦВК",#N/A,FALSE,"Сметы_затрат_по_цехам";"Смета_УстанСеры",#N/A,FALSE,"Сметы_затрат_по_цехам";"Смета_Ц5",#N/A,FALSE,"Сметы_затрат_по_цехам";"Смета_ЦРХ",#N/A,FALSE,"Сметы_затрат_по_цехам";"Смета_Ц6",#N/A,FALSE,"Сметы_затрат_по_цехам";"Смета_Ц7",#N/A,FALSE,"Сметы_затрат_по_цехам";"Смета_Ц9",#N/A,FALSE,"Сметы_затрат_по_цехам";"Смета_Ц10",#N/A,FALSE,"Сметы_затрат_по_цехам";"Смета_УТИМ",#N/A,FALSE,"Сметы_затрат_по_цехам";"Смета_Ц16",#N/A,FALSE,"Сметы_затрат_по_цехам";"Смета_ОчСоор",#N/A,FALSE,"Сметы_затрат_по_цехам";"Смета_АвтодорУчЦ13",#N/A,FALSE,"Сметы_затрат_по_цехам";"Смета_АСУП",#N/A,FALSE,"Сметы_затрат_по_цехам";"Смета_АСУТП",#N/A,FALSE,"Сметы_затрат_по_цехам";"Смета_ВВО",#N/A,FALSE,"Сметы_затрат_по_цехам";"Смета_ВГСО",#N/A,FALSE,"Сметы_затрат_по_цехам";"Смета_ВХСГ",#N/A,FALSE,"Сметы_затрат_по_цехам";"Смета_ЗУ",#N/A,FALSE,"Сметы_затрат_по_цехам";"Смета_лаб_метрол",#N/A,FALSE,"Сметы_затрат_по_цехам";"Смета_ЛабДиагн",#N/A,FALSE,"Сметы_затрат_по_цехам";"Смета_ЛабСв",#N/A,FALSE,"Сметы_затрат_по_цехам";"Смета_Ц12",#N/A,FALSE,"Сметы_затрат_по_цехам";"смета_Ц14",#N/A,FALSE,"Сметы_затрат_по_цехам";"Смета_Ц17",#N/A,FALSE,"Сметы_затрат_по_цехам";"Смета_ЦЗЛ",#N/A,FALSE,"Сметы_затрат_по_цехам"}</definedName>
    <definedName name="Час">#REF!</definedName>
    <definedName name="часмес">#REF!</definedName>
    <definedName name="частотник" hidden="1">{#N/A,#N/A,FALSE,"ZAP_FEB.XLS "}</definedName>
    <definedName name="чвам" hidden="1">{"NWN_Q1810",#N/A,FALSE,"Q1810_1.V";"NWN_Q1412",#N/A,FALSE,"Q1412_1"}</definedName>
    <definedName name="челдн">#REF!</definedName>
    <definedName name="черно" hidden="1">{"print95",#N/A,FALSE,"1995E.XLS";"print96",#N/A,FALSE,"1996E.XLS"}</definedName>
    <definedName name="четв">#REF!</definedName>
    <definedName name="четвертый">#REF!</definedName>
    <definedName name="Чехия">#REF!</definedName>
    <definedName name="чм">#REF!</definedName>
    <definedName name="чс_123">#REF!</definedName>
    <definedName name="ЧСВ">#REF!</definedName>
    <definedName name="чч" hidden="1">{"NWN_Q1810",#N/A,FALSE,"Q1810_1.V";"NWN_Q1412",#N/A,FALSE,"Q1412_1"}</definedName>
    <definedName name="чч_1" hidden="1">{"NWN_Q1810",#N/A,FALSE,"Q1810_1.V";"NWN_Q1412",#N/A,FALSE,"Q1412_1"}</definedName>
    <definedName name="ш" hidden="1">{"План продаж",#N/A,FALSE,"товар"}</definedName>
    <definedName name="ш1" hidden="1">{"План продаж",#N/A,FALSE,"товар"}</definedName>
    <definedName name="ш7ек" hidden="1">{#N/A,#N/A,FALSE,"ZAP_FEB.XLS "}</definedName>
    <definedName name="шаблон" hidden="1">{#N/A,#N/A,TRUE,"Balance Sheet";#N/A,#N/A,TRUE,"Income Statement";#N/A,#N/A,TRUE,"Statement of Cash Flows";#N/A,#N/A,TRUE,"Key Indicators"}</definedName>
    <definedName name="шаблон_1" hidden="1">{#N/A,#N/A,TRUE,"Balance Sheet";#N/A,#N/A,TRUE,"Income Statement";#N/A,#N/A,TRUE,"Statement of Cash Flows";#N/A,#N/A,TRUE,"Key Indicators"}</definedName>
    <definedName name="шаблон2" hidden="1">{#N/A,#N/A,TRUE,"Balance Sheet";#N/A,#N/A,TRUE,"Income Statement";#N/A,#N/A,TRUE,"Statement of Cash Flows";#N/A,#N/A,TRUE,"Key Indicators"}</definedName>
    <definedName name="шаблон2_1" hidden="1">{#N/A,#N/A,TRUE,"Balance Sheet";#N/A,#N/A,TRUE,"Income Statement";#N/A,#N/A,TRUE,"Statement of Cash Flows";#N/A,#N/A,TRUE,"Key Indicators"}</definedName>
    <definedName name="шаблон3" hidden="1">{#N/A,#N/A,TRUE,"Engineering Dept";#N/A,#N/A,TRUE,"Sales Dept";#N/A,#N/A,TRUE,"Marketing Dept";#N/A,#N/A,TRUE,"Admin Dept"}</definedName>
    <definedName name="шаблон3_1" hidden="1">{#N/A,#N/A,TRUE,"Engineering Dept";#N/A,#N/A,TRUE,"Sales Dept";#N/A,#N/A,TRUE,"Marketing Dept";#N/A,#N/A,TRUE,"Admin Dept"}</definedName>
    <definedName name="шаблон4" hidden="1">{#N/A,#N/A,TRUE,"Balance Sheet";#N/A,#N/A,TRUE,"Income Statement";#N/A,#N/A,TRUE,"Statement of Cash Flows";#N/A,#N/A,TRUE,"Key Indicators"}</definedName>
    <definedName name="шаблон4_1" hidden="1">{#N/A,#N/A,TRUE,"Balance Sheet";#N/A,#N/A,TRUE,"Income Statement";#N/A,#N/A,TRUE,"Statement of Cash Flows";#N/A,#N/A,TRUE,"Key Indicators"}</definedName>
    <definedName name="шахматка" hidden="1">{#N/A,#N/A,FALSE,"ZAP_FEB.XLS "}</definedName>
    <definedName name="Ширина">#REF!</definedName>
    <definedName name="Ширина1">#REF!</definedName>
    <definedName name="шкешукшегукшщгешщук" hidden="1">{#N/A,#N/A,FALSE,"Aging Summary";#N/A,#N/A,FALSE,"Ratio Analysis";#N/A,#N/A,FALSE,"Test 120 Day Accts";#N/A,#N/A,FALSE,"Tickmarks"}</definedName>
    <definedName name="шлло">#REF!</definedName>
    <definedName name="штатная" hidden="1">{"NWN_Q1810",#N/A,FALSE,"Q1810_1.V";"NWN_Q1412",#N/A,FALSE,"Q1412_1"}</definedName>
    <definedName name="Штатное_Май_ГПХ" hidden="1">{"NWN_Q1810",#N/A,FALSE,"Q1810_1.V";"NWN_Q1412",#N/A,FALSE,"Q1412_1"}</definedName>
    <definedName name="Штатное_Майфат_ГПХ" hidden="1">{"NWN_Q1810",#N/A,FALSE,"Q1810_1.V";"NWN_Q1412",#N/A,FALSE,"Q1412_1"}</definedName>
    <definedName name="шфлу">#REF!</definedName>
    <definedName name="шш" hidden="1">{"Товар.выработка без продаж",#N/A,FALSE,"товар"}</definedName>
    <definedName name="шщ" hidden="1">#REF!</definedName>
    <definedName name="щ" hidden="1">{"План продаж",#N/A,FALSE,"товар"}</definedName>
    <definedName name="щ1" hidden="1">{"Товар.выработка без продаж",#N/A,FALSE,"товар"}</definedName>
    <definedName name="щгъяб" hidden="1">#REF!</definedName>
    <definedName name="щд" hidden="1">{"баланс",#N/A,TRUE,"Баланс  на  декабрь"}</definedName>
    <definedName name="щзэржпо" hidden="1">#REF!</definedName>
    <definedName name="що">#REF!</definedName>
    <definedName name="щш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щш98опи" hidden="1">#REF!</definedName>
    <definedName name="щшг" hidden="1">{#N/A,#N/A,FALSE,"REC";#N/A,#N/A,FALSE,"ASSETS";#N/A,#N/A,FALSE,"LIABILITIES";#N/A,#N/A,FALSE,"P&amp;L";#N/A,#N/A,FALSE,"FUNDS";#N/A,#N/A,FALSE,"CASH";#N/A,#N/A,FALSE,"1,2";#N/A,#N/A,FALSE,"3";#N/A,#N/A,FALSE,"4";#N/A,#N/A,FALSE,"5,6,7";#N/A,#N/A,FALSE,"8,9"}</definedName>
    <definedName name="щщ" hidden="1">{"План продаж",#N/A,FALSE,"товар"}</definedName>
    <definedName name="ъъъ" hidden="1">{"Прибыль инстр",#N/A,FALSE,"Инстр"}</definedName>
    <definedName name="ъъъъъъъъ" hidden="1">{"NWN_Q1810",#N/A,FALSE,"Q1810_1.V";"NWN_Q1412",#N/A,FALSE,"Q1412_1"}</definedName>
    <definedName name="ъэх" localSheetId="0" hidden="1">Main.SAPF4Help()</definedName>
    <definedName name="ъэх" localSheetId="2" hidden="1">Main.SAPF4Help()</definedName>
    <definedName name="ъэх" localSheetId="1" hidden="1">Main.SAPF4Help()</definedName>
    <definedName name="ъэх" hidden="1">Main.SAPF4Help()</definedName>
    <definedName name="Ы" hidden="1">{"баланс",#N/A,TRUE,"Баланс  на  декабрь"}</definedName>
    <definedName name="ы1" hidden="1">{"Товар.выработка без продаж",#N/A,FALSE,"товар"}</definedName>
    <definedName name="ыа" hidden="1">#REF!</definedName>
    <definedName name="ыавпыаыв" localSheetId="0" hidden="1">Main.SAPF4Help()</definedName>
    <definedName name="ыавпыаыв" localSheetId="2" hidden="1">Main.SAPF4Help()</definedName>
    <definedName name="ыавпыаыв" localSheetId="1" hidden="1">Main.SAPF4Help()</definedName>
    <definedName name="ыавпыаыв" hidden="1">Main.SAPF4Help()</definedName>
    <definedName name="ыапрао" hidden="1">#REF!</definedName>
    <definedName name="ыаыва" hidden="1">{"Товар.выработка без продаж",#N/A,FALSE,"товар"}</definedName>
    <definedName name="ЫВ" hidden="1">#REF!</definedName>
    <definedName name="ыва">#REF!</definedName>
    <definedName name="ывавап" hidden="1">{#N/A,#N/A,TRUE,"Лист1";#N/A,#N/A,TRUE,"Лист2";#N/A,#N/A,TRUE,"Лист3"}</definedName>
    <definedName name="ывап" hidden="1">{"баланс",#N/A,TRUE,"Баланс  на  декабрь"}</definedName>
    <definedName name="ывапр6" hidden="1">{"'Sheet1'!$A$1:$G$96","'Sheet1'!$A$1:$H$96"}</definedName>
    <definedName name="ывафыа" hidden="1">#REF!</definedName>
    <definedName name="ываыа" hidden="1">{#N/A,#N/A,FALSE,"Закрытые кредиты"}</definedName>
    <definedName name="ываываыва" hidden="1">{#N/A,#N/A,FALSE,"Infl_fact"}</definedName>
    <definedName name="ывр" hidden="1">{#N/A,#N/A,FALSE,"ZAP_FEB.XLS "}</definedName>
    <definedName name="ыву" hidden="1">{"NWN_Q1810",#N/A,FALSE,"Q1810_1.V";"NWN_Q1412",#N/A,FALSE,"Q1412_1"}</definedName>
    <definedName name="ывыа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ывыв" localSheetId="0" hidden="1">Main.SAPF4Help()</definedName>
    <definedName name="ывыв" localSheetId="2" hidden="1">Main.SAPF4Help()</definedName>
    <definedName name="ывыв" localSheetId="1" hidden="1">Main.SAPF4Help()</definedName>
    <definedName name="ывыв" hidden="1">Main.SAPF4Help()</definedName>
    <definedName name="ывывы" hidden="1">{#N/A,#N/A,TRUE,"Лист1";#N/A,#N/A,TRUE,"Лист2";#N/A,#N/A,TRUE,"Лист3"}</definedName>
    <definedName name="Ыгь" hidden="1">{#N/A,#N/A,FALSE,"Aging Summary";#N/A,#N/A,FALSE,"Ratio Analysis";#N/A,#N/A,FALSE,"Test 120 Day Accts";#N/A,#N/A,FALSE,"Tickmarks"}</definedName>
    <definedName name="ык" hidden="1">{"баланс",#N/A,TRUE,"Баланс  на  декабрь"}</definedName>
    <definedName name="ыквп" hidden="1">{"баланс",#N/A,TRUE,"Баланс  на  декабрь"}</definedName>
    <definedName name="ыкеоуфыравычрп" hidden="1">#REF!</definedName>
    <definedName name="ылеажщгшэро" hidden="1">{#N/A,#N/A,FALSE,"ZAP_FEB.XLS "}</definedName>
    <definedName name="ыпв" hidden="1">{"План продаж",#N/A,FALSE,"товар"}</definedName>
    <definedName name="ыпварпатомт" hidden="1">#REF!</definedName>
    <definedName name="ысыс" localSheetId="0" hidden="1">Main.SAPF4Help()</definedName>
    <definedName name="ысыс" localSheetId="2" hidden="1">Main.SAPF4Help()</definedName>
    <definedName name="ысыс" localSheetId="1" hidden="1">Main.SAPF4Help()</definedName>
    <definedName name="ысыс" hidden="1">Main.SAPF4Help()</definedName>
    <definedName name="ыуаы" hidden="1">{#N/A,#N/A,TRUE,"Лист1";#N/A,#N/A,TRUE,"Лист2";#N/A,#N/A,TRUE,"Лист3"}</definedName>
    <definedName name="ЫУпЦФУапцУаЦа" hidden="1">{#N/A,#N/A,TRUE,"Лист1";#N/A,#N/A,TRUE,"Лист2";#N/A,#N/A,TRUE,"Лист3"}</definedName>
    <definedName name="ыфпе">#REF!</definedName>
    <definedName name="ыц6ц" hidden="1">{#N/A,#N/A,FALSE,"СВОД"}</definedName>
    <definedName name="ыцку" hidden="1">{"баланс",#N/A,TRUE,"Баланс  на  декабрь"}</definedName>
    <definedName name="ыыы" hidden="1">{#N/A,#N/A,FALSE,"Себестоимсть-97"}</definedName>
    <definedName name="ь" hidden="1">{"План продаж",#N/A,FALSE,"товар"}</definedName>
    <definedName name="ьб.л.лд." hidden="1">#REF!</definedName>
    <definedName name="ьорл" hidden="1">#REF!</definedName>
    <definedName name="ььь" hidden="1">{"print95",#N/A,FALSE,"1995E.XLS";"print96",#N/A,FALSE,"1996E.XLS"}</definedName>
    <definedName name="ьюжэз" hidden="1">#REF!</definedName>
    <definedName name="э" hidden="1">{"Товар.выработка без продаж",#N/A,FALSE,"товар"}</definedName>
    <definedName name="э1">#REF!</definedName>
    <definedName name="эбиозж" hidden="1">#REF!</definedName>
    <definedName name="ЭЖД" hidden="1">{#N/A,#N/A,FALSE,"ZAP_FEB.XLS "}</definedName>
    <definedName name="эжх" hidden="1">#REF!</definedName>
    <definedName name="эжэ" hidden="1">{#N/A,#N/A,FALSE,"FA_1";#N/A,#N/A,FALSE,"Dep'n SE";#N/A,#N/A,FALSE,"Dep'n FC"}</definedName>
    <definedName name="эксплуатация">#REF!</definedName>
    <definedName name="экспорт" localSheetId="0" hidden="1">Main.SAPF4Help()</definedName>
    <definedName name="экспорт" localSheetId="2" hidden="1">Main.SAPF4Help()</definedName>
    <definedName name="экспорт" localSheetId="1" hidden="1">Main.SAPF4Help()</definedName>
    <definedName name="экспорт" hidden="1">Main.SAPF4Help()</definedName>
    <definedName name="ЭкспортПошлина1">#REF!</definedName>
    <definedName name="эл.">#REF!</definedName>
    <definedName name="Эл_энергия">#REF!</definedName>
    <definedName name="электро" hidden="1">{"'Лист1'!$A$1:$W$63"}</definedName>
    <definedName name="электрообогрев">#N/A</definedName>
    <definedName name="ЭЛЕКТРОЭНЕРГИЯ1">#REF!</definedName>
    <definedName name="эмм">#REF!</definedName>
    <definedName name="энергетика" hidden="1">{"баланс",#N/A,TRUE,"Баланс  на  декабрь"}</definedName>
    <definedName name="энергия" hidden="1">{"BS1",#N/A,TRUE,"RSA_FS";"BS2",#N/A,TRUE,"RSA_FS";"BS3",#N/A,TRUE,"RSA_FS"}</definedName>
    <definedName name="энц2" hidden="1">{#N/A,#N/A,FALSE,"ZAP_FEB.XLS "}</definedName>
    <definedName name="ЭПУ" hidden="1">{#N/A,#N/A,FALSE,"ZAP_FEB.XLS "}</definedName>
    <definedName name="ЭПУ." hidden="1">{#N/A,#N/A,FALSE,"ZAP_FEB.XLS "}</definedName>
    <definedName name="этилен">#REF!</definedName>
    <definedName name="эф4" hidden="1">{"Товар.выработка без продаж",#N/A,FALSE,"товар"}</definedName>
    <definedName name="эцн" hidden="1">{#N/A,#N/A,FALSE,"ZAP_FEB.XLS "}</definedName>
    <definedName name="ЭЦНФ" hidden="1">{#N/A,#N/A,FALSE,"ZAP_FEB.XLS "}</definedName>
    <definedName name="эщджь" hidden="1">#REF!</definedName>
    <definedName name="эээ">#REF!</definedName>
    <definedName name="ээээээээ" hidden="1">{"IAS Only",#N/A,FALSE,"NNGT1";"IAS Only",#N/A,FALSE,"NNT1";"IAS Only",#N/A,FALSE,"SNT1";"IAS Only",#N/A,FALSE,"BNT1"}</definedName>
    <definedName name="эээээээээ" hidden="1">{"NWN_Q1810",#N/A,FALSE,"Q1810_1.V";"NWN_Q1412",#N/A,FALSE,"Q1412_1"}</definedName>
    <definedName name="Ю">#REF!</definedName>
    <definedName name="юани_22">#REF!</definedName>
    <definedName name="юани_23">#REF!</definedName>
    <definedName name="юани_24">#REF!</definedName>
    <definedName name="юани_25">#REF!</definedName>
    <definedName name="юани_26">#REF!</definedName>
    <definedName name="юани_27">#REF!</definedName>
    <definedName name="юани_28">#REF!</definedName>
    <definedName name="юани_29">#REF!</definedName>
    <definedName name="юань22">#REF!</definedName>
    <definedName name="юань23">#REF!</definedName>
    <definedName name="юань24">#REF!</definedName>
    <definedName name="юань25">#REF!</definedName>
    <definedName name="юань26">#REF!</definedName>
    <definedName name="юань27">#REF!</definedName>
    <definedName name="юд" hidden="1">{"баланс",#N/A,TRUE,"Баланс  на  декабрь"}</definedName>
    <definedName name="ЮжХар" hidden="1">{"'СВОДКА январь 2004'!$BB$5"}</definedName>
    <definedName name="ЮКОС">#REF!</definedName>
    <definedName name="юлодэ" hidden="1">#REF!</definedName>
    <definedName name="юлотро" hidden="1">#REF!,#REF!,#REF!,#REF!</definedName>
    <definedName name="ЮНГ">#REF!</definedName>
    <definedName name="юр" hidden="1">{#N/A,#N/A,FALSE,"ZAP_FEB.XLS "}</definedName>
    <definedName name="юро" hidden="1">#REF!,#REF!</definedName>
    <definedName name="юю" hidden="1">{"Valuation_Common",#N/A,FALSE,"Valuation"}</definedName>
    <definedName name="ЮЮЮ" hidden="1">{#N/A,#N/A,FALSE,"ZAP_FEB.XLS "}</definedName>
    <definedName name="юююююююююююююююю">#REF!</definedName>
    <definedName name="я">#REF!</definedName>
    <definedName name="ягф" hidden="1">{"Прибыль СаМеКо",#N/A,FALSE,"Итог СаМеКо"}</definedName>
    <definedName name="ЯГЭ" hidden="1">{"Прибыль дерев",#N/A,FALSE,"Дерев"}</definedName>
    <definedName name="янв2018" hidden="1">#REF!</definedName>
    <definedName name="январь" hidden="1">{#N/A,#N/A,FALSE,"ZAP_FEB.XLS "}</definedName>
    <definedName name="яокл" hidden="1">{"NWN_Q1810",#N/A,FALSE,"Q1810_1.V";"NWN_Q1412",#N/A,FALSE,"Q1412_1"}</definedName>
    <definedName name="ячсми" hidden="1">{"NWN_Q1810",#N/A,FALSE,"Q1810_1.V";"NWN_Q1412",#N/A,FALSE,"Q1412_1"}</definedName>
    <definedName name="яыукарн" hidden="1">{"NWN_Q1810",#N/A,FALSE,"Q1810_1.V";"NWN_Q1412",#N/A,FALSE,"Q1412_1"}</definedName>
    <definedName name="яыцй" hidden="1">{"NWN_Q1810",#N/A,FALSE,"Q1810_1.V";"NWN_Q1412",#N/A,FALSE,"Q1412_1"}</definedName>
    <definedName name="яя" hidden="1">{"План продаж",#N/A,FALSE,"товар"}</definedName>
    <definedName name="яяя">#REF!</definedName>
    <definedName name="яяяя">#REF!</definedName>
    <definedName name="яЯяяя" hidden="1">{#N/A,#N/A,TRUE,"Лист1";#N/A,#N/A,TRUE,"Лист2";#N/A,#N/A,TRUE,"Лист3"}</definedName>
    <definedName name="ㄱ미" hidden="1">{#N/A,#N/A,TRUE,"Basic";#N/A,#N/A,TRUE,"EXT-TABLE";#N/A,#N/A,TRUE,"STEEL";#N/A,#N/A,TRUE,"INT-Table";#N/A,#N/A,TRUE,"STEEL";#N/A,#N/A,TRUE,"Door"}</definedName>
    <definedName name="ㄱ미_1" hidden="1">{#N/A,#N/A,TRUE,"Basic";#N/A,#N/A,TRUE,"EXT-TABLE";#N/A,#N/A,TRUE,"STEEL";#N/A,#N/A,TRUE,"INT-Table";#N/A,#N/A,TRUE,"STEEL";#N/A,#N/A,TRUE,"Door"}</definedName>
    <definedName name="감" hidden="1">{#N/A,#N/A,TRUE,"Basic";#N/A,#N/A,TRUE,"EXT-TABLE";#N/A,#N/A,TRUE,"STEEL";#N/A,#N/A,TRUE,"INT-Table";#N/A,#N/A,TRUE,"STEEL";#N/A,#N/A,TRUE,"Door"}</definedName>
    <definedName name="강은성" hidden="1">{#N/A,#N/A,TRUE,"Basic";#N/A,#N/A,TRUE,"EXT-TABLE";#N/A,#N/A,TRUE,"STEEL";#N/A,#N/A,TRUE,"INT-Table";#N/A,#N/A,TRUE,"STEEL";#N/A,#N/A,TRUE,"Door"}</definedName>
    <definedName name="겉표지" hidden="1">{#N/A,#N/A,TRUE,"Basic";#N/A,#N/A,TRUE,"EXT-TABLE";#N/A,#N/A,TRUE,"STEEL";#N/A,#N/A,TRUE,"INT-Table";#N/A,#N/A,TRUE,"STEEL";#N/A,#N/A,TRUE,"Door"}</definedName>
    <definedName name="겡오" hidden="1">{#N/A,#N/A,FALSE,"CCTV"}</definedName>
    <definedName name="겡오_1" hidden="1">{#N/A,#N/A,FALSE,"CCTV"}</definedName>
    <definedName name="견저서" hidden="1">{#N/A,#N/A,FALSE,"제목"}</definedName>
    <definedName name="견적SHEET" hidden="1">{#N/A,#N/A,FALSE,"CCTV"}</definedName>
    <definedName name="견적조건" hidden="1">#REF!</definedName>
    <definedName name="견적품의서" hidden="1">{"'장비'!$A$3:$M$12"}</definedName>
    <definedName name="계장공사" hidden="1">{#N/A,#N/A,FALSE,"CCTV"}</definedName>
    <definedName name="계장공사_1" hidden="1">{#N/A,#N/A,FALSE,"CCTV"}</definedName>
    <definedName name="국내" hidden="1">#REF!</definedName>
    <definedName name="금액비교" hidden="1">{#N/A,#N/A,TRUE,"Basic";#N/A,#N/A,TRUE,"EXT-TABLE";#N/A,#N/A,TRUE,"STEEL";#N/A,#N/A,TRUE,"INT-Table";#N/A,#N/A,TRUE,"STEEL";#N/A,#N/A,TRUE,"Door"}</definedName>
    <definedName name="김" hidden="1">{#N/A,#N/A,TRUE,"Basic";#N/A,#N/A,TRUE,"EXT-TABLE";#N/A,#N/A,TRUE,"STEEL";#N/A,#N/A,TRUE,"INT-Table";#N/A,#N/A,TRUE,"STEEL";#N/A,#N/A,TRUE,"Door"}</definedName>
    <definedName name="김_1" hidden="1">{#N/A,#N/A,TRUE,"Basic";#N/A,#N/A,TRUE,"EXT-TABLE";#N/A,#N/A,TRUE,"STEEL";#N/A,#N/A,TRUE,"INT-Table";#N/A,#N/A,TRUE,"STEEL";#N/A,#N/A,TRUE,"Door"}</definedName>
    <definedName name="김1" hidden="1">{#N/A,#N/A,TRUE,"Basic";#N/A,#N/A,TRUE,"EXT-TABLE";#N/A,#N/A,TRUE,"STEEL";#N/A,#N/A,TRUE,"INT-Table";#N/A,#N/A,TRUE,"STEEL";#N/A,#N/A,TRUE,"Door"}</definedName>
    <definedName name="김1_1" hidden="1">{#N/A,#N/A,TRUE,"Basic";#N/A,#N/A,TRUE,"EXT-TABLE";#N/A,#N/A,TRUE,"STEEL";#N/A,#N/A,TRUE,"INT-Table";#N/A,#N/A,TRUE,"STEEL";#N/A,#N/A,TRUE,"Door"}</definedName>
    <definedName name="김3" hidden="1">{#N/A,#N/A,TRUE,"Basic";#N/A,#N/A,TRUE,"EXT-TABLE";#N/A,#N/A,TRUE,"STEEL";#N/A,#N/A,TRUE,"INT-Table";#N/A,#N/A,TRUE,"STEEL";#N/A,#N/A,TRUE,"Door"}</definedName>
    <definedName name="김3_1" hidden="1">{#N/A,#N/A,TRUE,"Basic";#N/A,#N/A,TRUE,"EXT-TABLE";#N/A,#N/A,TRUE,"STEEL";#N/A,#N/A,TRUE,"INT-Table";#N/A,#N/A,TRUE,"STEEL";#N/A,#N/A,TRUE,"Door"}</definedName>
    <definedName name="김명준" hidden="1">{"LKD",#N/A,FALSE,"표지"}</definedName>
    <definedName name="김병철" hidden="1">{"LKD",#N/A,FALSE,"표지"}</definedName>
    <definedName name="김병철1" hidden="1">{"LKD",#N/A,FALSE,"표지"}</definedName>
    <definedName name="김재홍" hidden="1">{"LKD",#N/A,FALSE,"표지"}</definedName>
    <definedName name="ㄴㄴ" hidden="1">#REF!</definedName>
    <definedName name="내역" hidden="1">{#N/A,#N/A,FALSE,"제목"}</definedName>
    <definedName name="ㄷㄷ" hidden="1">{"LKD",#N/A,FALSE,"표지"}</definedName>
    <definedName name="당초계획" hidden="1">#REF!</definedName>
    <definedName name="도면외주" hidden="1">#REF!</definedName>
    <definedName name="도면용역비" hidden="1">#REF!</definedName>
    <definedName name="ㄹㄹ" hidden="1">{"LKD",#N/A,FALSE,"표지"}</definedName>
    <definedName name="류기평" hidden="1">{"LKD",#N/A,FALSE,"표지"}</definedName>
    <definedName name="ㅁㅁㅁ" hidden="1">{"LKD",#N/A,FALSE,"표지"}</definedName>
    <definedName name="ㅁㅁㅁㅁㅁ" hidden="1">{"LKD",#N/A,FALSE,"표지"}</definedName>
    <definedName name="먁" hidden="1">#REF!</definedName>
    <definedName name="물량2" hidden="1">{#N/A,#N/A,FALSE,"제목"}</definedName>
    <definedName name="뭉" hidden="1">{"'장비'!$A$3:$M$12"}</definedName>
    <definedName name="ㅂ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ㅂ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부대공사" hidden="1">#REF!</definedName>
    <definedName name="분류" hidden="1">{"LKD",#N/A,FALSE,"표지"}</definedName>
    <definedName name="비용비교" hidden="1">{#N/A,#N/A,FALSE,"제목"}</definedName>
    <definedName name="ㅅㅅ" hidden="1">{"LKD",#N/A,FALSE,"표지"}</definedName>
    <definedName name="사업계획수정" hidden="1">#REF!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산출" hidden="1">#REF!</definedName>
    <definedName name="산출근거" hidden="1">#REF!</definedName>
    <definedName name="산출근거1" hidden="1">#REF!</definedName>
    <definedName name="상각비2" hidden="1">#REF!</definedName>
    <definedName name="새로" hidden="1">#REF!</definedName>
    <definedName name="새안" hidden="1">{#N/A,#N/A,FALSE,"TABLE"}</definedName>
    <definedName name="수" hidden="1">{#N/A,#N/A,TRUE,"Basic";#N/A,#N/A,TRUE,"EXT-TABLE";#N/A,#N/A,TRUE,"STEEL";#N/A,#N/A,TRUE,"INT-Table";#N/A,#N/A,TRUE,"STEEL";#N/A,#N/A,TRUE,"Door"}</definedName>
    <definedName name="수_1" hidden="1">{#N/A,#N/A,TRUE,"Basic";#N/A,#N/A,TRUE,"EXT-TABLE";#N/A,#N/A,TRUE,"STEEL";#N/A,#N/A,TRUE,"INT-Table";#N/A,#N/A,TRUE,"STEEL";#N/A,#N/A,TRUE,"Door"}</definedName>
    <definedName name="수당" hidden="1">#N/A</definedName>
    <definedName name="ㅇㄴㄴㄹ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ㅇㅇ" hidden="1">{"LKD",#N/A,FALSE,"표지"}</definedName>
    <definedName name="이금모" hidden="1">{"LKD",#N/A,FALSE,"표지"}</definedName>
    <definedName name="이름충돌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이름충돌_1" hidden="1">{#N/A,#N/A,FALSE,"B-001";#N/A,#N/A,FALSE,"B-002";#N/A,#N/A,FALSE,"B-003";#N/A,#N/A,FALSE,"B-004";#N/A,#N/A,FALSE,"B-005";#N/A,#N/A,FALSE,"B-010";#N/A,#N/A,FALSE,"C-001";#N/A,#N/A,FALSE,"C-002";#N/A,#N/A,FALSE,"C-003";#N/A,#N/A,FALSE,"C-004";#N/A,#N/A,FALSE,"C-005";#N/A,#N/A,FALSE,"C-010";#N/A,#N/A,FALSE,"D-001";#N/A,#N/A,FALSE,"D-003";#N/A,#N/A,FALSE,"E-001";#N/A,#N/A,FALSE,"E-002";#N/A,#N/A,FALSE,"E-011";#N/A,#N/A,FALSE,"E-012";#N/A,#N/A,FALSE,"F-001";#N/A,#N/A,FALSE,"F-005";#N/A,#N/A,FALSE,"J-001";#N/A,#N/A,FALSE,"J-002";#N/A,#N/A,FALSE,"J-003";#N/A,#N/A,FALSE,"J-004";#N/A,#N/A,FALSE,"J-005";#N/A,#N/A,FALSE,"J-006";#N/A,#N/A,FALSE,"J-008";#N/A,#N/A,FALSE,"J-009";#N/A,#N/A,FALSE,"J-011";#N/A,#N/A,FALSE,"J-012";#N/A,#N/A,FALSE,"J-014";#N/A,#N/A,FALSE,"J-017";#N/A,#N/A,FALSE,"L-001";#N/A,#N/A,FALSE,"L-002";#N/A,#N/A,FALSE,"L-003";#N/A,#N/A,FALSE,"L-004";#N/A,#N/A,FALSE,"L-005";#N/A,#N/A,FALSE,"L-006";#N/A,#N/A,FALSE,"L-007";#N/A,#N/A,FALSE,"L-051";#N/A,#N/A,FALSE,"L-052";#N/A,#N/A,FALSE,"L-053";#N/A,#N/A,FALSE,"L-054";#N/A,#N/A,FALSE,"L-058";#N/A,#N/A,FALSE,"LR-001";#N/A,#N/A,FALSE,"U-001";#N/A,#N/A,FALSE,"U-002";#N/A,#N/A,FALSE,"U-010";#N/A,#N/A,FALSE,"U-051";#N/A,#N/A,FALSE,"UC-001";#N/A,#N/A,FALSE,"SIDE FILTER";#N/A,#N/A,FALSE,"CI-001-3";#N/A,#N/A,FALSE,"Load Arm"}</definedName>
    <definedName name="입고일정" hidden="1">{#N/A,#N/A,FALSE,"제목"}</definedName>
    <definedName name="ㅈㅈ" hidden="1">{"'장비'!$A$3:$M$12"}</definedName>
    <definedName name="ㅈㅈㅈ" hidden="1">{"LKD",#N/A,FALSE,"표지"}</definedName>
    <definedName name="자" hidden="1">#REF!</definedName>
    <definedName name="전계장금액" hidden="1">#REF!</definedName>
    <definedName name="전력변화" hidden="1">{#N/A,#N/A,FALSE,"제목"}</definedName>
    <definedName name="전력변화FAB3" hidden="1">{#N/A,#N/A,FALSE,"제목"}</definedName>
    <definedName name="직매54P" hidden="1">{#N/A,#N/A,TRUE,"토적및재료집계";#N/A,#N/A,TRUE,"토적및재료집계";#N/A,#N/A,TRUE,"단위량"}</definedName>
    <definedName name="최대현" hidden="1">{"LKD",#N/A,FALSE,"표지"}</definedName>
    <definedName name="최대현1" hidden="1">{"LKD",#N/A,FALSE,"표지"}</definedName>
    <definedName name="추가분" hidden="1">{"'장비'!$A$3:$M$12"}</definedName>
    <definedName name="ㅌㅌㅌ" hidden="1">{#N/A,#N/A,FALSE,"제목"}</definedName>
    <definedName name="토건" hidden="1">{"'장비'!$A$3:$M$12"}</definedName>
    <definedName name="토건업체" hidden="1">{"'장비'!$A$3:$M$12"}</definedName>
    <definedName name="토목변경" hidden="1">{"'장비'!$A$3:$M$12"}</definedName>
    <definedName name="토목실행예산" hidden="1">{"'장비'!$A$3:$M$12"}</definedName>
    <definedName name="토목조정분" hidden="1">{"'장비'!$A$3:$M$12"}</definedName>
    <definedName name="투찰예정가50" hidden="1">{"'장비'!$A$3:$M$12"}</definedName>
    <definedName name="투찰예정본부장" hidden="1">{"'장비'!$A$3:$M$12"}</definedName>
    <definedName name="표지" hidden="1">{#N/A,#N/A,TRUE,"Basic";#N/A,#N/A,TRUE,"EXT-TABLE";#N/A,#N/A,TRUE,"STEEL";#N/A,#N/A,TRUE,"INT-Table";#N/A,#N/A,TRUE,"STEEL";#N/A,#N/A,TRUE,"Door"}</definedName>
    <definedName name="표지2" hidden="1">#REF!</definedName>
    <definedName name="하하" hidden="1">{"LKD",#N/A,FALSE,"표지"}</definedName>
    <definedName name="할" hidden="1">{"LKD",#N/A,FALSE,"표지"}</definedName>
    <definedName name="현장조직1" hidden="1">{"LKD",#N/A,FALSE,"표지"}</definedName>
    <definedName name="호가" hidden="1">{"LKD",#N/A,FALSE,"표지"}</definedName>
    <definedName name="ㅠㅠㅠ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ㅠㅠㅠ_1" hidden="1">{#N/A,#N/A,FALSE,"BE-001";#N/A,#N/A,FALSE,"CA-001";#N/A,#N/A,FALSE,"CY-001";#N/A,#N/A,FALSE,"CU-001";#N/A,#N/A,FALSE,"D-001";#N/A,#N/A,FALSE,"D-002";#N/A,#N/A,FALSE,"DH-001";#N/A,#N/A,FALSE,"DU-001";#N/A,#N/A,FALSE,"E-001";#N/A,#N/A,FALSE,"E-002";#N/A,#N/A,FALSE,"E-003";#N/A,#N/A,FALSE,"E-004";#N/A,#N/A,FALSE,"E-005";#N/A,#N/A,FALSE,"E-006";#N/A,#N/A,FALSE,"E-007";#N/A,#N/A,FALSE,"EH-001";#N/A,#N/A,FALSE,"EL-001";#N/A,#N/A,FALSE,"F-001";#N/A,#N/A,FALSE,"F-002";#N/A,#N/A,FALSE,"FI-001";#N/A,#N/A,FALSE,"J-001";#N/A,#N/A,FALSE,"J-002";#N/A,#N/A,FALSE,"N2-001";#N/A,#N/A,FALSE,"PT-001";#N/A,#N/A,FALSE,"R-001";#N/A,#N/A,FALSE,"SI-001";#N/A,#N/A,FALSE,"SM-001";#N/A,#N/A,FALSE,"T-001";#N/A,#N/A,FALSE,"T-002";#N/A,#N/A,FALSE,"T-003";#N/A,#N/A,FALSE,"TO-001";#N/A,#N/A,FALSE,"X-002";#N/A,#N/A,FALSE,"X-003";#N/A,#N/A,FALSE,"S_STR"}</definedName>
    <definedName name="ㅣㅣ" hidden="1">{"LKD",#N/A,FALSE,"표지"}</definedName>
    <definedName name="二" hidden="1">{"'现金流量表（全部投资）'!$B$4:$P$23"}</definedName>
    <definedName name="仪表2_10" hidden="1">{#N/A,#N/A,FALSE,"Clients Office";#N/A,#N/A,FALSE,"Co Sum"}</definedName>
    <definedName name="依使用電腦資源金額比例分攤">#REF!</definedName>
    <definedName name="公式列">#REF!</definedName>
    <definedName name="公式行">#REF!</definedName>
    <definedName name="出差費用" hidden="1">{"'Sheet1'!$L$16"}</definedName>
    <definedName name="华电" hidden="1">{"'现金流量表（全部投资）'!$B$4:$P$23"}</definedName>
    <definedName name="单位工程报价表C" hidden="1">{"'现金流量表（全部投资）'!$B$4:$P$23"}</definedName>
    <definedName name="历来" hidden="1">{"'现金流量表（全部投资）'!$B$4:$P$23"}</definedName>
    <definedName name="取费" hidden="1">{"'现金流量表（全部投资）'!$B$4:$P$23"}</definedName>
    <definedName name="取费参数">#REF!</definedName>
    <definedName name="国内COIORYG" localSheetId="0">COIORYG</definedName>
    <definedName name="国内COIORYG" localSheetId="2">COIORYG</definedName>
    <definedName name="国内COIORYG" localSheetId="1">COIORYG</definedName>
    <definedName name="国内COIORYG">COIORYG</definedName>
    <definedName name="国内Fitting">#REF!</definedName>
    <definedName name="国内Gaisaku">#REF!</definedName>
    <definedName name="国内GaisakuG">#REF!</definedName>
    <definedName name="国内Item">#REF!</definedName>
    <definedName name="国内ItemMaterial">#REF!</definedName>
    <definedName name="国内Material">#REF!</definedName>
    <definedName name="国内Naisaku">#REF!</definedName>
    <definedName name="国内NaisakuG">#REF!</definedName>
    <definedName name="国内Pipe">#REF!</definedName>
    <definedName name="国内Print_Area">#REF!</definedName>
    <definedName name="国内PRINT_AREA_MI">#REF!</definedName>
    <definedName name="国内Print_Titles">#REF!</definedName>
    <definedName name="国内PRINT_TITLES_MI">#REF!</definedName>
    <definedName name="国内RT">#REF!</definedName>
    <definedName name="国内ＲＴfilm">#REF!</definedName>
    <definedName name="国内Schedule">#REF!</definedName>
    <definedName name="国内SchMaterial">#REF!</definedName>
    <definedName name="国内Structure">#REF!</definedName>
    <definedName name="国内Support">#REF!</definedName>
    <definedName name="国内SupportDesign">#REF!</definedName>
    <definedName name="国内SupportPoint">#REF!</definedName>
    <definedName name="国内Weight">#REF!</definedName>
    <definedName name="料表">#REF!</definedName>
    <definedName name="新" hidden="1">{"'现金流量表（全部投资）'!$B$4:$P$23"}</definedName>
    <definedName name="新封" hidden="1">{"'现金流量表（全部投资）'!$B$4:$P$23"}</definedName>
    <definedName name="新表3" hidden="1">{"'现金流量表（全部投资）'!$B$4:$P$23"}</definedName>
    <definedName name="機票費用調查表">#REF!</definedName>
    <definedName name="海外COIORYG">#N/A</definedName>
    <definedName name="海外Fitting">#REF!</definedName>
    <definedName name="海外Gaisaku">#REF!</definedName>
    <definedName name="海外GaisakuG">#REF!</definedName>
    <definedName name="海外ItemMaterial">#REF!</definedName>
    <definedName name="海外Naisaku">#REF!</definedName>
    <definedName name="海外NaisakuG">#REF!</definedName>
    <definedName name="海外Pipe">#REF!</definedName>
    <definedName name="海外RT">#REF!</definedName>
    <definedName name="海外ＲＴfilm">#REF!</definedName>
    <definedName name="海外SchMaterial">#REF!</definedName>
    <definedName name="海外Structure">#REF!</definedName>
    <definedName name="海外Support">#REF!</definedName>
    <definedName name="海外SupportDesign">#REF!</definedName>
    <definedName name="海外SupportPoint">#REF!</definedName>
    <definedName name="电控" hidden="1">{"'现金流量表（全部投资）'!$B$4:$P$23"}</definedName>
    <definedName name="监" hidden="1">{"'现金流量表（全部投资）'!$B$4:$P$23"}</definedName>
    <definedName name="簽證費用調查表">#REF!</definedName>
    <definedName name="脱硫3" hidden="1">{"'现金流量表（全部投资）'!$B$4:$P$23"}</definedName>
    <definedName name="脱硫表二" hidden="1">{"'现金流量表（全部投资）'!$B$4:$P$23"}</definedName>
    <definedName name="荆门脱硫" hidden="1">{"'现金流量表（全部投资）'!$B$4:$P$23"}</definedName>
    <definedName name="调整" hidden="1">{"'现金流量表（全部投资）'!$B$4:$P$23"}</definedName>
    <definedName name="这人" hidden="1">{"'现金流量表（全部投资）'!$B$4:$P$23"}</definedName>
    <definedName name="預算中性線">#REF!</definedName>
    <definedName name="預算接地系統">#REF!</definedName>
    <definedName name="預算突波保護">#REF!</definedName>
    <definedName name="預算表頭">#REF!</definedName>
    <definedName name="預算避雷系統">#REF!</definedName>
    <definedName name="页面2">#N/A</definedName>
    <definedName name="魅力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U60" i="4" l="1"/>
  <c r="Q60" i="4"/>
  <c r="O60" i="4"/>
  <c r="T57" i="4"/>
  <c r="Q57" i="4"/>
  <c r="N57" i="4"/>
  <c r="Y34" i="4"/>
  <c r="C34" i="4"/>
  <c r="Y33" i="4"/>
  <c r="C33" i="4"/>
  <c r="Y32" i="4"/>
  <c r="C32" i="4"/>
  <c r="Y31" i="4"/>
  <c r="C31" i="4" s="1"/>
  <c r="AL29" i="4"/>
  <c r="AK29" i="4"/>
  <c r="AJ29" i="4"/>
  <c r="AI29" i="4"/>
  <c r="AH29" i="4"/>
  <c r="AG29" i="4"/>
  <c r="AF29" i="4"/>
  <c r="AE29" i="4"/>
  <c r="AD29" i="4"/>
  <c r="AC29" i="4"/>
  <c r="AB29" i="4"/>
  <c r="AA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Y26" i="4"/>
  <c r="T26" i="4"/>
  <c r="Q26" i="4"/>
  <c r="J23" i="4"/>
  <c r="D26" i="4"/>
  <c r="AL23" i="4"/>
  <c r="AD23" i="4"/>
  <c r="AC23" i="4"/>
  <c r="Y25" i="4"/>
  <c r="T25" i="4"/>
  <c r="D25" i="4"/>
  <c r="AF23" i="4"/>
  <c r="W23" i="4"/>
  <c r="T23" i="4" s="1"/>
  <c r="Q24" i="4"/>
  <c r="P23" i="4"/>
  <c r="AJ23" i="4"/>
  <c r="AH23" i="4"/>
  <c r="AG23" i="4"/>
  <c r="AA23" i="4"/>
  <c r="V23" i="4"/>
  <c r="U23" i="4"/>
  <c r="S23" i="4"/>
  <c r="R23" i="4"/>
  <c r="Y22" i="4"/>
  <c r="T22" i="4"/>
  <c r="C22" i="4" s="1"/>
  <c r="Q22" i="4"/>
  <c r="D22" i="4"/>
  <c r="AJ21" i="4"/>
  <c r="AB21" i="4"/>
  <c r="Z21" i="4"/>
  <c r="L21" i="4"/>
  <c r="Y20" i="4"/>
  <c r="T20" i="4"/>
  <c r="Q20" i="4"/>
  <c r="D20" i="4"/>
  <c r="AJ19" i="4"/>
  <c r="X18" i="4"/>
  <c r="P18" i="4"/>
  <c r="P17" i="4" s="1"/>
  <c r="H18" i="4"/>
  <c r="H17" i="4" s="1"/>
  <c r="Y16" i="4"/>
  <c r="T16" i="4"/>
  <c r="Q16" i="4"/>
  <c r="D16" i="4"/>
  <c r="AB19" i="4"/>
  <c r="Y15" i="4"/>
  <c r="T15" i="4"/>
  <c r="Q15" i="4"/>
  <c r="L19" i="4"/>
  <c r="D15" i="4"/>
  <c r="AL18" i="4"/>
  <c r="AK18" i="4"/>
  <c r="AI18" i="4"/>
  <c r="AH18" i="4"/>
  <c r="AG18" i="4"/>
  <c r="AF11" i="4"/>
  <c r="AF27" i="4" s="1"/>
  <c r="AE18" i="4"/>
  <c r="AD18" i="4"/>
  <c r="AC18" i="4"/>
  <c r="AA18" i="4"/>
  <c r="Z18" i="4"/>
  <c r="X11" i="4"/>
  <c r="W18" i="4"/>
  <c r="V18" i="4"/>
  <c r="U18" i="4"/>
  <c r="S18" i="4"/>
  <c r="S17" i="4" s="1"/>
  <c r="R18" i="4"/>
  <c r="P11" i="4"/>
  <c r="O18" i="4"/>
  <c r="N18" i="4"/>
  <c r="M18" i="4"/>
  <c r="L18" i="4"/>
  <c r="K18" i="4"/>
  <c r="J18" i="4"/>
  <c r="J17" i="4" s="1"/>
  <c r="I18" i="4"/>
  <c r="I17" i="4" s="1"/>
  <c r="H11" i="4"/>
  <c r="G18" i="4"/>
  <c r="F18" i="4"/>
  <c r="E18" i="4"/>
  <c r="AJ11" i="4"/>
  <c r="AJ27" i="4" s="1"/>
  <c r="AB11" i="4"/>
  <c r="Y13" i="4"/>
  <c r="S11" i="4"/>
  <c r="S27" i="4" s="1"/>
  <c r="D13" i="4"/>
  <c r="AK11" i="4"/>
  <c r="AC11" i="4"/>
  <c r="Y12" i="4"/>
  <c r="Q12" i="4"/>
  <c r="M11" i="4"/>
  <c r="L11" i="4"/>
  <c r="K11" i="4"/>
  <c r="J11" i="4"/>
  <c r="AL11" i="4"/>
  <c r="AL27" i="4" s="1"/>
  <c r="AI11" i="4"/>
  <c r="AH11" i="4"/>
  <c r="AH27" i="4" s="1"/>
  <c r="AG11" i="4"/>
  <c r="AG27" i="4" s="1"/>
  <c r="AE11" i="4"/>
  <c r="AD11" i="4"/>
  <c r="AD27" i="4" s="1"/>
  <c r="AA11" i="4"/>
  <c r="Z11" i="4"/>
  <c r="Y11" i="4"/>
  <c r="W11" i="4"/>
  <c r="V11" i="4"/>
  <c r="V27" i="4" s="1"/>
  <c r="O11" i="4"/>
  <c r="N11" i="4"/>
  <c r="I11" i="4"/>
  <c r="G11" i="4"/>
  <c r="F11" i="4"/>
  <c r="Y10" i="4"/>
  <c r="T10" i="4"/>
  <c r="Q10" i="4"/>
  <c r="D10" i="4"/>
  <c r="AI9" i="4"/>
  <c r="AG9" i="4"/>
  <c r="AF9" i="4"/>
  <c r="AD9" i="4"/>
  <c r="Z9" i="4"/>
  <c r="X9" i="4"/>
  <c r="W9" i="4"/>
  <c r="V9" i="4"/>
  <c r="S9" i="4"/>
  <c r="R9" i="4"/>
  <c r="Q9" i="4"/>
  <c r="P9" i="4"/>
  <c r="O9" i="4"/>
  <c r="N9" i="4"/>
  <c r="K9" i="4"/>
  <c r="I9" i="4"/>
  <c r="H9" i="4"/>
  <c r="G9" i="4"/>
  <c r="F9" i="4"/>
  <c r="AL8" i="4"/>
  <c r="AL21" i="4" s="1"/>
  <c r="AK8" i="4"/>
  <c r="AJ8" i="4"/>
  <c r="AJ9" i="4" s="1"/>
  <c r="AI8" i="4"/>
  <c r="AI21" i="4" s="1"/>
  <c r="AH8" i="4"/>
  <c r="AH21" i="4" s="1"/>
  <c r="AG8" i="4"/>
  <c r="AG21" i="4" s="1"/>
  <c r="AF8" i="4"/>
  <c r="AF21" i="4" s="1"/>
  <c r="AE8" i="4"/>
  <c r="AE9" i="4" s="1"/>
  <c r="AD8" i="4"/>
  <c r="AD21" i="4" s="1"/>
  <c r="AC8" i="4"/>
  <c r="AB8" i="4"/>
  <c r="AB9" i="4" s="1"/>
  <c r="AA8" i="4"/>
  <c r="AA21" i="4" s="1"/>
  <c r="Y8" i="4"/>
  <c r="X8" i="4"/>
  <c r="X21" i="4" s="1"/>
  <c r="W8" i="4"/>
  <c r="W21" i="4" s="1"/>
  <c r="V8" i="4"/>
  <c r="V21" i="4" s="1"/>
  <c r="U8" i="4"/>
  <c r="U9" i="4" s="1"/>
  <c r="T8" i="4"/>
  <c r="S8" i="4"/>
  <c r="S21" i="4" s="1"/>
  <c r="R8" i="4"/>
  <c r="R21" i="4" s="1"/>
  <c r="Q21" i="4" s="1"/>
  <c r="Q8" i="4"/>
  <c r="P8" i="4"/>
  <c r="P21" i="4" s="1"/>
  <c r="O8" i="4"/>
  <c r="O21" i="4" s="1"/>
  <c r="N8" i="4"/>
  <c r="C8" i="4" s="1"/>
  <c r="M8" i="4"/>
  <c r="M9" i="4" s="1"/>
  <c r="L8" i="4"/>
  <c r="L9" i="4" s="1"/>
  <c r="K8" i="4"/>
  <c r="K21" i="4" s="1"/>
  <c r="J8" i="4"/>
  <c r="J21" i="4" s="1"/>
  <c r="I8" i="4"/>
  <c r="I21" i="4" s="1"/>
  <c r="H8" i="4"/>
  <c r="H21" i="4" s="1"/>
  <c r="G8" i="4"/>
  <c r="G21" i="4" s="1"/>
  <c r="F8" i="4"/>
  <c r="F21" i="4" s="1"/>
  <c r="E8" i="4"/>
  <c r="E9" i="4" s="1"/>
  <c r="D8" i="4"/>
  <c r="AL19" i="4"/>
  <c r="AK19" i="4"/>
  <c r="AI19" i="4"/>
  <c r="AH19" i="4"/>
  <c r="AG19" i="4"/>
  <c r="AF19" i="4"/>
  <c r="AE19" i="4"/>
  <c r="AD19" i="4"/>
  <c r="AA19" i="4"/>
  <c r="Z19" i="4"/>
  <c r="Y19" i="4" s="1"/>
  <c r="X19" i="4"/>
  <c r="W19" i="4"/>
  <c r="V19" i="4"/>
  <c r="S19" i="4"/>
  <c r="R19" i="4"/>
  <c r="P19" i="4"/>
  <c r="O19" i="4"/>
  <c r="N19" i="4"/>
  <c r="M19" i="4"/>
  <c r="K19" i="4"/>
  <c r="J19" i="4"/>
  <c r="I19" i="4"/>
  <c r="H19" i="4"/>
  <c r="G19" i="4"/>
  <c r="F19" i="4"/>
  <c r="AL6" i="4"/>
  <c r="AL9" i="4" s="1"/>
  <c r="AA6" i="4"/>
  <c r="AA9" i="4" s="1"/>
  <c r="Y6" i="4"/>
  <c r="Y9" i="4" s="1"/>
  <c r="T6" i="4"/>
  <c r="J6" i="4"/>
  <c r="J9" i="4" s="1"/>
  <c r="D6" i="4"/>
  <c r="Y5" i="4"/>
  <c r="T5" i="4"/>
  <c r="D5" i="4"/>
  <c r="C5" i="4"/>
  <c r="D30" i="3"/>
  <c r="D25" i="3"/>
  <c r="C25" i="3" s="1"/>
  <c r="H22" i="3"/>
  <c r="G22" i="3"/>
  <c r="J19" i="3"/>
  <c r="L19" i="3"/>
  <c r="K19" i="3"/>
  <c r="D18" i="3"/>
  <c r="C18" i="3"/>
  <c r="I19" i="3"/>
  <c r="I23" i="3" s="1"/>
  <c r="H19" i="3"/>
  <c r="G19" i="3"/>
  <c r="F19" i="3"/>
  <c r="F23" i="3" s="1"/>
  <c r="J23" i="3"/>
  <c r="H14" i="3"/>
  <c r="H21" i="3" s="1"/>
  <c r="D16" i="3"/>
  <c r="L22" i="3"/>
  <c r="K22" i="3"/>
  <c r="I22" i="3"/>
  <c r="F22" i="3"/>
  <c r="M22" i="3" s="1"/>
  <c r="E22" i="3"/>
  <c r="L14" i="3"/>
  <c r="L21" i="3" s="1"/>
  <c r="K14" i="3"/>
  <c r="K21" i="3" s="1"/>
  <c r="I14" i="3"/>
  <c r="I21" i="3" s="1"/>
  <c r="I20" i="3" s="1"/>
  <c r="F14" i="3"/>
  <c r="K10" i="3"/>
  <c r="D13" i="3"/>
  <c r="L10" i="3"/>
  <c r="L9" i="3" s="1"/>
  <c r="E10" i="3"/>
  <c r="D12" i="3"/>
  <c r="C12" i="3" s="1"/>
  <c r="J10" i="3"/>
  <c r="J24" i="3" s="1"/>
  <c r="J35" i="3" s="1"/>
  <c r="I10" i="3"/>
  <c r="I9" i="3" s="1"/>
  <c r="H10" i="3"/>
  <c r="H9" i="3" s="1"/>
  <c r="G10" i="3"/>
  <c r="I24" i="3"/>
  <c r="I35" i="3" s="1"/>
  <c r="D7" i="3"/>
  <c r="C7" i="3"/>
  <c r="D5" i="3"/>
  <c r="C5" i="3" s="1"/>
  <c r="O1" i="3"/>
  <c r="D31" i="2"/>
  <c r="C31" i="2" s="1"/>
  <c r="D26" i="2"/>
  <c r="K24" i="2"/>
  <c r="L24" i="2"/>
  <c r="C20" i="2"/>
  <c r="G24" i="2"/>
  <c r="D20" i="2"/>
  <c r="I23" i="2"/>
  <c r="F23" i="2"/>
  <c r="E23" i="2"/>
  <c r="D19" i="2"/>
  <c r="C19" i="2" s="1"/>
  <c r="D18" i="2"/>
  <c r="C18" i="2" s="1"/>
  <c r="I24" i="2"/>
  <c r="F24" i="2"/>
  <c r="L15" i="2"/>
  <c r="L22" i="2" s="1"/>
  <c r="H23" i="2"/>
  <c r="G23" i="2"/>
  <c r="E15" i="2"/>
  <c r="D16" i="2"/>
  <c r="C16" i="2" s="1"/>
  <c r="I15" i="2"/>
  <c r="I10" i="2" s="1"/>
  <c r="F15" i="2"/>
  <c r="F10" i="2" s="1"/>
  <c r="C14" i="2"/>
  <c r="G11" i="2"/>
  <c r="D14" i="2"/>
  <c r="H11" i="2"/>
  <c r="H25" i="2" s="1"/>
  <c r="H36" i="2" s="1"/>
  <c r="D13" i="2"/>
  <c r="C13" i="2"/>
  <c r="E11" i="2"/>
  <c r="L11" i="2"/>
  <c r="I11" i="2"/>
  <c r="I25" i="2" s="1"/>
  <c r="I36" i="2" s="1"/>
  <c r="L5" i="2"/>
  <c r="E5" i="2"/>
  <c r="D6" i="2"/>
  <c r="C6" i="2" s="1"/>
  <c r="K5" i="2"/>
  <c r="I5" i="2"/>
  <c r="H5" i="2"/>
  <c r="F5" i="2"/>
  <c r="O1" i="2"/>
  <c r="Z33" i="1"/>
  <c r="O33" i="1"/>
  <c r="I33" i="1"/>
  <c r="F33" i="1"/>
  <c r="C33" i="1"/>
  <c r="W30" i="1"/>
  <c r="O30" i="1"/>
  <c r="AE28" i="1"/>
  <c r="Z28" i="1"/>
  <c r="W28" i="1"/>
  <c r="O28" i="1"/>
  <c r="I28" i="1"/>
  <c r="F28" i="1"/>
  <c r="C28" i="1"/>
  <c r="AL26" i="1"/>
  <c r="AB26" i="1"/>
  <c r="Q26" i="1"/>
  <c r="E26" i="1"/>
  <c r="AJ25" i="1"/>
  <c r="M25" i="1"/>
  <c r="AE22" i="1"/>
  <c r="Z22" i="1"/>
  <c r="W22" i="1"/>
  <c r="T22" i="1"/>
  <c r="O22" i="1"/>
  <c r="I22" i="1"/>
  <c r="F22" i="1"/>
  <c r="C22" i="1"/>
  <c r="AE21" i="1"/>
  <c r="Z21" i="1"/>
  <c r="W21" i="1"/>
  <c r="T21" i="1"/>
  <c r="O21" i="1"/>
  <c r="I21" i="1"/>
  <c r="F21" i="1"/>
  <c r="C21" i="1"/>
  <c r="AE20" i="1"/>
  <c r="Z20" i="1"/>
  <c r="W20" i="1"/>
  <c r="T20" i="1"/>
  <c r="O20" i="1"/>
  <c r="I20" i="1"/>
  <c r="F20" i="1"/>
  <c r="C20" i="1"/>
  <c r="AQ26" i="1"/>
  <c r="AP26" i="1"/>
  <c r="AO26" i="1"/>
  <c r="AN26" i="1"/>
  <c r="AM26" i="1"/>
  <c r="AK26" i="1"/>
  <c r="AJ26" i="1"/>
  <c r="AI26" i="1"/>
  <c r="AH26" i="1"/>
  <c r="AG26" i="1"/>
  <c r="AE19" i="1"/>
  <c r="AD26" i="1"/>
  <c r="AC26" i="1"/>
  <c r="AA26" i="1"/>
  <c r="Y26" i="1"/>
  <c r="X26" i="1"/>
  <c r="V26" i="1"/>
  <c r="U26" i="1"/>
  <c r="R26" i="1"/>
  <c r="P26" i="1"/>
  <c r="O26" i="1" s="1"/>
  <c r="N26" i="1"/>
  <c r="M26" i="1"/>
  <c r="L26" i="1"/>
  <c r="K26" i="1"/>
  <c r="I19" i="1"/>
  <c r="H26" i="1"/>
  <c r="F19" i="1"/>
  <c r="D26" i="1"/>
  <c r="C26" i="1" s="1"/>
  <c r="AQ25" i="1"/>
  <c r="AP25" i="1"/>
  <c r="AO25" i="1"/>
  <c r="AO36" i="1" s="1"/>
  <c r="AN25" i="1"/>
  <c r="AM25" i="1"/>
  <c r="AL25" i="1"/>
  <c r="AK25" i="1"/>
  <c r="AI25" i="1"/>
  <c r="AH25" i="1"/>
  <c r="AG25" i="1"/>
  <c r="AG36" i="1" s="1"/>
  <c r="AF25" i="1"/>
  <c r="AE25" i="1" s="1"/>
  <c r="AD25" i="1"/>
  <c r="AC25" i="1"/>
  <c r="AB25" i="1"/>
  <c r="Z18" i="1"/>
  <c r="Y25" i="1"/>
  <c r="X25" i="1"/>
  <c r="V25" i="1"/>
  <c r="U25" i="1"/>
  <c r="R25" i="1"/>
  <c r="Q25" i="1"/>
  <c r="P25" i="1"/>
  <c r="O25" i="1" s="1"/>
  <c r="N25" i="1"/>
  <c r="L25" i="1"/>
  <c r="K25" i="1"/>
  <c r="I18" i="1"/>
  <c r="H25" i="1"/>
  <c r="F18" i="1"/>
  <c r="E25" i="1"/>
  <c r="D25" i="1"/>
  <c r="AQ17" i="1"/>
  <c r="AQ24" i="1" s="1"/>
  <c r="AP17" i="1"/>
  <c r="AP24" i="1" s="1"/>
  <c r="AO17" i="1"/>
  <c r="AO24" i="1" s="1"/>
  <c r="AN17" i="1"/>
  <c r="AN24" i="1" s="1"/>
  <c r="AM17" i="1"/>
  <c r="AM24" i="1" s="1"/>
  <c r="AL17" i="1"/>
  <c r="AL24" i="1" s="1"/>
  <c r="AK17" i="1"/>
  <c r="AK24" i="1" s="1"/>
  <c r="AJ17" i="1"/>
  <c r="AJ24" i="1" s="1"/>
  <c r="AI17" i="1"/>
  <c r="AI24" i="1" s="1"/>
  <c r="AH17" i="1"/>
  <c r="AH24" i="1" s="1"/>
  <c r="AG17" i="1"/>
  <c r="AG24" i="1" s="1"/>
  <c r="AF17" i="1"/>
  <c r="AF24" i="1" s="1"/>
  <c r="AD17" i="1"/>
  <c r="AD24" i="1" s="1"/>
  <c r="AC17" i="1"/>
  <c r="AC24" i="1" s="1"/>
  <c r="AB17" i="1"/>
  <c r="AB24" i="1" s="1"/>
  <c r="Y17" i="1"/>
  <c r="Y24" i="1" s="1"/>
  <c r="X17" i="1"/>
  <c r="V17" i="1"/>
  <c r="V24" i="1" s="1"/>
  <c r="V23" i="1" s="1"/>
  <c r="U17" i="1"/>
  <c r="U24" i="1" s="1"/>
  <c r="Q17" i="1"/>
  <c r="Q24" i="1" s="1"/>
  <c r="P17" i="1"/>
  <c r="P24" i="1" s="1"/>
  <c r="N17" i="1"/>
  <c r="N24" i="1" s="1"/>
  <c r="M17" i="1"/>
  <c r="M24" i="1" s="1"/>
  <c r="L17" i="1"/>
  <c r="L24" i="1" s="1"/>
  <c r="K17" i="1"/>
  <c r="K24" i="1" s="1"/>
  <c r="H17" i="1"/>
  <c r="H24" i="1" s="1"/>
  <c r="G17" i="1"/>
  <c r="G24" i="1" s="1"/>
  <c r="E17" i="1"/>
  <c r="E24" i="1" s="1"/>
  <c r="D17" i="1"/>
  <c r="D24" i="1" s="1"/>
  <c r="AQ13" i="1"/>
  <c r="AE16" i="1"/>
  <c r="Z16" i="1"/>
  <c r="W16" i="1"/>
  <c r="O16" i="1"/>
  <c r="I16" i="1"/>
  <c r="F16" i="1"/>
  <c r="C16" i="1"/>
  <c r="AE15" i="1"/>
  <c r="Z15" i="1"/>
  <c r="W15" i="1"/>
  <c r="O15" i="1"/>
  <c r="I15" i="1"/>
  <c r="F15" i="1"/>
  <c r="C15" i="1"/>
  <c r="AE14" i="1"/>
  <c r="Z14" i="1"/>
  <c r="W14" i="1"/>
  <c r="R13" i="1"/>
  <c r="R27" i="1" s="1"/>
  <c r="R38" i="1" s="1"/>
  <c r="O14" i="1"/>
  <c r="L13" i="1"/>
  <c r="I14" i="1"/>
  <c r="F14" i="1"/>
  <c r="E13" i="1"/>
  <c r="D13" i="1"/>
  <c r="AP13" i="1"/>
  <c r="AO13" i="1"/>
  <c r="AN13" i="1"/>
  <c r="AM13" i="1"/>
  <c r="AM27" i="1" s="1"/>
  <c r="AM38" i="1" s="1"/>
  <c r="AL13" i="1"/>
  <c r="AL27" i="1" s="1"/>
  <c r="AL38" i="1" s="1"/>
  <c r="AK13" i="1"/>
  <c r="AJ13" i="1"/>
  <c r="AI13" i="1"/>
  <c r="AH13" i="1"/>
  <c r="AG13" i="1"/>
  <c r="AF13" i="1"/>
  <c r="AD13" i="1"/>
  <c r="AC13" i="1"/>
  <c r="AC27" i="1" s="1"/>
  <c r="AC38" i="1" s="1"/>
  <c r="AB13" i="1"/>
  <c r="Y13" i="1"/>
  <c r="X13" i="1"/>
  <c r="W13" i="1" s="1"/>
  <c r="V13" i="1"/>
  <c r="U13" i="1"/>
  <c r="Q13" i="1"/>
  <c r="P13" i="1"/>
  <c r="O13" i="1" s="1"/>
  <c r="N13" i="1"/>
  <c r="N27" i="1" s="1"/>
  <c r="N38" i="1" s="1"/>
  <c r="M13" i="1"/>
  <c r="K13" i="1"/>
  <c r="H13" i="1"/>
  <c r="G13" i="1"/>
  <c r="AQ12" i="1"/>
  <c r="AN12" i="1"/>
  <c r="AM12" i="1"/>
  <c r="AL12" i="1"/>
  <c r="AK12" i="1"/>
  <c r="AI12" i="1"/>
  <c r="AF12" i="1"/>
  <c r="AD12" i="1"/>
  <c r="AC12" i="1"/>
  <c r="AB12" i="1"/>
  <c r="X12" i="1"/>
  <c r="Q12" i="1"/>
  <c r="P12" i="1"/>
  <c r="N12" i="1"/>
  <c r="M12" i="1"/>
  <c r="K12" i="1"/>
  <c r="AQ11" i="1"/>
  <c r="AQ10" i="1" s="1"/>
  <c r="AP11" i="1"/>
  <c r="AP10" i="1" s="1"/>
  <c r="AO11" i="1"/>
  <c r="AN11" i="1"/>
  <c r="AN10" i="1" s="1"/>
  <c r="AN34" i="1" s="1"/>
  <c r="AL11" i="1"/>
  <c r="AK11" i="1"/>
  <c r="AJ11" i="1"/>
  <c r="AI11" i="1"/>
  <c r="AH11" i="1"/>
  <c r="AH10" i="1" s="1"/>
  <c r="AG11" i="1"/>
  <c r="AG10" i="1" s="1"/>
  <c r="AG7" i="1" s="1"/>
  <c r="AF11" i="1"/>
  <c r="AD11" i="1"/>
  <c r="AD10" i="1" s="1"/>
  <c r="AC11" i="1"/>
  <c r="AB11" i="1"/>
  <c r="AB10" i="1" s="1"/>
  <c r="AA11" i="1"/>
  <c r="AA10" i="1" s="1"/>
  <c r="Y11" i="1"/>
  <c r="Y10" i="1" s="1"/>
  <c r="X11" i="1"/>
  <c r="X10" i="1" s="1"/>
  <c r="V11" i="1"/>
  <c r="V10" i="1" s="1"/>
  <c r="U11" i="1"/>
  <c r="R11" i="1"/>
  <c r="R10" i="1" s="1"/>
  <c r="Q11" i="1"/>
  <c r="Q10" i="1" s="1"/>
  <c r="N11" i="1"/>
  <c r="N10" i="1" s="1"/>
  <c r="M11" i="1"/>
  <c r="M10" i="1" s="1"/>
  <c r="L11" i="1"/>
  <c r="L10" i="1" s="1"/>
  <c r="L31" i="1" s="1"/>
  <c r="L37" i="1" s="1"/>
  <c r="K11" i="1"/>
  <c r="K10" i="1" s="1"/>
  <c r="J11" i="1"/>
  <c r="J10" i="1" s="1"/>
  <c r="H11" i="1"/>
  <c r="G11" i="1"/>
  <c r="G10" i="1" s="1"/>
  <c r="E11" i="1"/>
  <c r="E10" i="1" s="1"/>
  <c r="D11" i="1"/>
  <c r="D10" i="1" s="1"/>
  <c r="AO10" i="1"/>
  <c r="AO34" i="1" s="1"/>
  <c r="AK10" i="1"/>
  <c r="AK7" i="1" s="1"/>
  <c r="AI10" i="1"/>
  <c r="AF10" i="1"/>
  <c r="AF34" i="1" s="1"/>
  <c r="AC10" i="1"/>
  <c r="AC7" i="1" s="1"/>
  <c r="U10" i="1"/>
  <c r="T9" i="1"/>
  <c r="AN27" i="1"/>
  <c r="AN38" i="1" s="1"/>
  <c r="AK27" i="1"/>
  <c r="AK38" i="1" s="1"/>
  <c r="AJ27" i="1"/>
  <c r="AJ38" i="1" s="1"/>
  <c r="AI27" i="1"/>
  <c r="AI38" i="1" s="1"/>
  <c r="AE8" i="1"/>
  <c r="AF27" i="1"/>
  <c r="Z8" i="1"/>
  <c r="Y27" i="1"/>
  <c r="Y38" i="1" s="1"/>
  <c r="X27" i="1"/>
  <c r="V27" i="1"/>
  <c r="V38" i="1" s="1"/>
  <c r="U27" i="1"/>
  <c r="Q27" i="1"/>
  <c r="Q38" i="1" s="1"/>
  <c r="M27" i="1"/>
  <c r="M38" i="1" s="1"/>
  <c r="H9" i="1"/>
  <c r="C8" i="1"/>
  <c r="AO7" i="1"/>
  <c r="AP6" i="1"/>
  <c r="AO6" i="1"/>
  <c r="AN6" i="1"/>
  <c r="AL6" i="1"/>
  <c r="AK6" i="1"/>
  <c r="AJ6" i="1"/>
  <c r="AH6" i="1"/>
  <c r="AG6" i="1"/>
  <c r="AF6" i="1"/>
  <c r="AD6" i="1"/>
  <c r="AC6" i="1"/>
  <c r="AB6" i="1"/>
  <c r="AA6" i="1"/>
  <c r="Y6" i="1"/>
  <c r="X6" i="1"/>
  <c r="V6" i="1"/>
  <c r="U6" i="1"/>
  <c r="R6" i="1"/>
  <c r="Q6" i="1"/>
  <c r="N6" i="1"/>
  <c r="M6" i="1"/>
  <c r="L6" i="1"/>
  <c r="K6" i="1"/>
  <c r="J6" i="1"/>
  <c r="H6" i="1"/>
  <c r="G6" i="1"/>
  <c r="E6" i="1"/>
  <c r="D6" i="1"/>
  <c r="AQ6" i="1"/>
  <c r="AM6" i="1"/>
  <c r="AI6" i="1"/>
  <c r="AE5" i="1"/>
  <c r="Z5" i="1"/>
  <c r="W5" i="1"/>
  <c r="T5" i="1" s="1"/>
  <c r="P6" i="1"/>
  <c r="O6" i="1" s="1"/>
  <c r="I5" i="1"/>
  <c r="F5" i="1"/>
  <c r="C5" i="1"/>
  <c r="AT1" i="1"/>
  <c r="D23" i="2" l="1"/>
  <c r="F13" i="1"/>
  <c r="W26" i="1"/>
  <c r="AJ12" i="1"/>
  <c r="Y12" i="1"/>
  <c r="W25" i="1"/>
  <c r="T28" i="1"/>
  <c r="AE13" i="1"/>
  <c r="W17" i="1"/>
  <c r="W24" i="1" s="1"/>
  <c r="U12" i="1"/>
  <c r="AG12" i="1"/>
  <c r="AE12" i="1" s="1"/>
  <c r="AO12" i="1"/>
  <c r="G12" i="1"/>
  <c r="V12" i="1"/>
  <c r="AH12" i="1"/>
  <c r="AP12" i="1"/>
  <c r="P27" i="1"/>
  <c r="P38" i="1" s="1"/>
  <c r="O38" i="1" s="1"/>
  <c r="H12" i="1"/>
  <c r="W12" i="1"/>
  <c r="M23" i="1"/>
  <c r="N23" i="1"/>
  <c r="O12" i="1"/>
  <c r="C10" i="1"/>
  <c r="C6" i="1"/>
  <c r="W10" i="1"/>
  <c r="F6" i="1"/>
  <c r="AE6" i="1"/>
  <c r="I6" i="1"/>
  <c r="W6" i="1"/>
  <c r="Z6" i="1"/>
  <c r="T6" i="1" s="1"/>
  <c r="M34" i="1"/>
  <c r="M32" i="1" s="1"/>
  <c r="M31" i="1"/>
  <c r="M37" i="1" s="1"/>
  <c r="AK23" i="1"/>
  <c r="N34" i="1"/>
  <c r="N32" i="1" s="1"/>
  <c r="N31" i="1"/>
  <c r="N37" i="1" s="1"/>
  <c r="AC23" i="1"/>
  <c r="AL23" i="1"/>
  <c r="F9" i="2"/>
  <c r="E34" i="1"/>
  <c r="E32" i="1" s="1"/>
  <c r="E31" i="1"/>
  <c r="E37" i="1" s="1"/>
  <c r="Q34" i="1"/>
  <c r="Q32" i="1" s="1"/>
  <c r="Q31" i="1"/>
  <c r="C13" i="1"/>
  <c r="C24" i="1"/>
  <c r="O24" i="1"/>
  <c r="Q23" i="1"/>
  <c r="AF23" i="1"/>
  <c r="AN23" i="1"/>
  <c r="U38" i="1"/>
  <c r="AF38" i="1"/>
  <c r="F24" i="1"/>
  <c r="U23" i="1"/>
  <c r="AB34" i="1"/>
  <c r="AB32" i="1" s="1"/>
  <c r="AB31" i="1"/>
  <c r="V34" i="1"/>
  <c r="V32" i="1" s="1"/>
  <c r="V7" i="1"/>
  <c r="V31" i="1"/>
  <c r="AD34" i="1"/>
  <c r="AD32" i="1" s="1"/>
  <c r="AD31" i="1"/>
  <c r="AD37" i="1" s="1"/>
  <c r="AD7" i="1"/>
  <c r="X38" i="1"/>
  <c r="W27" i="1"/>
  <c r="AH34" i="1"/>
  <c r="AH32" i="1" s="1"/>
  <c r="AH31" i="1"/>
  <c r="AH37" i="1" s="1"/>
  <c r="AH7" i="1"/>
  <c r="AP34" i="1"/>
  <c r="AP32" i="1" s="1"/>
  <c r="AP31" i="1"/>
  <c r="AP37" i="1" s="1"/>
  <c r="AP7" i="1"/>
  <c r="K34" i="1"/>
  <c r="K32" i="1" s="1"/>
  <c r="K31" i="1"/>
  <c r="J9" i="2"/>
  <c r="J7" i="2" s="1"/>
  <c r="T14" i="1"/>
  <c r="T15" i="1"/>
  <c r="T16" i="1"/>
  <c r="AI23" i="1"/>
  <c r="AQ27" i="1"/>
  <c r="AQ38" i="1" s="1"/>
  <c r="Y31" i="1"/>
  <c r="Y34" i="1"/>
  <c r="Y32" i="1" s="1"/>
  <c r="Y7" i="1"/>
  <c r="AJ23" i="1"/>
  <c r="C25" i="1"/>
  <c r="Z26" i="1"/>
  <c r="J17" i="1"/>
  <c r="R17" i="1"/>
  <c r="R24" i="1" s="1"/>
  <c r="R23" i="1" s="1"/>
  <c r="AA17" i="1"/>
  <c r="AA12" i="1" s="1"/>
  <c r="Z12" i="1" s="1"/>
  <c r="AD27" i="1"/>
  <c r="AD38" i="1" s="1"/>
  <c r="AP27" i="1"/>
  <c r="AP38" i="1" s="1"/>
  <c r="D31" i="1"/>
  <c r="AO31" i="1"/>
  <c r="AO32" i="1"/>
  <c r="D7" i="1"/>
  <c r="L7" i="1"/>
  <c r="U7" i="1"/>
  <c r="AJ10" i="1"/>
  <c r="AJ7" i="1" s="1"/>
  <c r="C14" i="1"/>
  <c r="C17" i="1"/>
  <c r="C18" i="1"/>
  <c r="C19" i="1"/>
  <c r="X24" i="1"/>
  <c r="X23" i="1" s="1"/>
  <c r="AA25" i="1"/>
  <c r="Z25" i="1" s="1"/>
  <c r="T25" i="1" s="1"/>
  <c r="G26" i="1"/>
  <c r="F26" i="1" s="1"/>
  <c r="W33" i="1"/>
  <c r="K7" i="1"/>
  <c r="AB7" i="1"/>
  <c r="P11" i="1"/>
  <c r="P10" i="1" s="1"/>
  <c r="AH27" i="1"/>
  <c r="AH38" i="1" s="1"/>
  <c r="AJ36" i="1"/>
  <c r="I9" i="2"/>
  <c r="J34" i="1"/>
  <c r="J31" i="1"/>
  <c r="R34" i="1"/>
  <c r="R32" i="1" s="1"/>
  <c r="R31" i="1"/>
  <c r="R37" i="1" s="1"/>
  <c r="AA34" i="1"/>
  <c r="AA31" i="1"/>
  <c r="L9" i="2"/>
  <c r="AI31" i="1"/>
  <c r="AI37" i="1" s="1"/>
  <c r="AI34" i="1"/>
  <c r="AI32" i="1" s="1"/>
  <c r="AQ31" i="1"/>
  <c r="AQ34" i="1"/>
  <c r="AQ32" i="1" s="1"/>
  <c r="J12" i="1"/>
  <c r="R12" i="1"/>
  <c r="J13" i="1"/>
  <c r="I13" i="1" s="1"/>
  <c r="AA13" i="1"/>
  <c r="Z13" i="1" s="1"/>
  <c r="T13" i="1" s="1"/>
  <c r="D34" i="1"/>
  <c r="E9" i="2"/>
  <c r="L34" i="1"/>
  <c r="L32" i="1" s="1"/>
  <c r="K9" i="2"/>
  <c r="U34" i="1"/>
  <c r="U31" i="1"/>
  <c r="AC34" i="1"/>
  <c r="AC32" i="1" s="1"/>
  <c r="AC31" i="1"/>
  <c r="AK34" i="1"/>
  <c r="AK32" i="1" s="1"/>
  <c r="AK31" i="1"/>
  <c r="D12" i="1"/>
  <c r="L12" i="1"/>
  <c r="W8" i="1"/>
  <c r="T8" i="1" s="1"/>
  <c r="G25" i="1"/>
  <c r="F25" i="1" s="1"/>
  <c r="J26" i="1"/>
  <c r="I26" i="1" s="1"/>
  <c r="AF26" i="1"/>
  <c r="AE26" i="1" s="1"/>
  <c r="K36" i="1"/>
  <c r="X36" i="1"/>
  <c r="E7" i="1"/>
  <c r="M7" i="1"/>
  <c r="N7" i="1"/>
  <c r="F8" i="1"/>
  <c r="AL10" i="1"/>
  <c r="E12" i="1"/>
  <c r="O5" i="1"/>
  <c r="G7" i="1"/>
  <c r="X7" i="1"/>
  <c r="AF7" i="1"/>
  <c r="AE7" i="1" s="1"/>
  <c r="AN7" i="1"/>
  <c r="O8" i="1"/>
  <c r="AE10" i="1"/>
  <c r="AM11" i="1"/>
  <c r="AM10" i="1" s="1"/>
  <c r="F17" i="1"/>
  <c r="AE17" i="1"/>
  <c r="AE24" i="1" s="1"/>
  <c r="AM23" i="1"/>
  <c r="W18" i="1"/>
  <c r="AE18" i="1"/>
  <c r="W19" i="1"/>
  <c r="P36" i="1"/>
  <c r="Y36" i="1"/>
  <c r="AN36" i="1"/>
  <c r="H27" i="1"/>
  <c r="H38" i="1" s="1"/>
  <c r="AG27" i="1"/>
  <c r="AG38" i="1" s="1"/>
  <c r="AO27" i="1"/>
  <c r="AO38" i="1" s="1"/>
  <c r="G9" i="2"/>
  <c r="G7" i="2" s="1"/>
  <c r="G34" i="1"/>
  <c r="G31" i="1"/>
  <c r="X31" i="1"/>
  <c r="X34" i="1"/>
  <c r="O17" i="1"/>
  <c r="O18" i="1"/>
  <c r="O19" i="1"/>
  <c r="J25" i="1"/>
  <c r="I25" i="1" s="1"/>
  <c r="Z30" i="1"/>
  <c r="Q7" i="1"/>
  <c r="I8" i="1"/>
  <c r="H10" i="1"/>
  <c r="AG31" i="1"/>
  <c r="AG34" i="1"/>
  <c r="AG32" i="1" s="1"/>
  <c r="Y23" i="1"/>
  <c r="AB27" i="1"/>
  <c r="AB38" i="1" s="1"/>
  <c r="AB36" i="1"/>
  <c r="AQ36" i="1"/>
  <c r="AF31" i="1"/>
  <c r="R7" i="1"/>
  <c r="AA7" i="1"/>
  <c r="AI7" i="1"/>
  <c r="AQ7" i="1"/>
  <c r="I10" i="1"/>
  <c r="Z10" i="1"/>
  <c r="Z19" i="1"/>
  <c r="AN31" i="1"/>
  <c r="AE33" i="1"/>
  <c r="AN32" i="1"/>
  <c r="AF32" i="1"/>
  <c r="J24" i="2"/>
  <c r="G25" i="2"/>
  <c r="G5" i="2"/>
  <c r="J11" i="2"/>
  <c r="J25" i="2" s="1"/>
  <c r="K23" i="2"/>
  <c r="K15" i="2"/>
  <c r="K22" i="2" s="1"/>
  <c r="L23" i="2"/>
  <c r="C23" i="2" s="1"/>
  <c r="K11" i="2"/>
  <c r="L21" i="2"/>
  <c r="Q36" i="1"/>
  <c r="E22" i="2"/>
  <c r="D15" i="2"/>
  <c r="H24" i="3"/>
  <c r="H35" i="3" s="1"/>
  <c r="D17" i="3"/>
  <c r="C17" i="3" s="1"/>
  <c r="E19" i="3"/>
  <c r="E10" i="2"/>
  <c r="D10" i="2" s="1"/>
  <c r="D12" i="2"/>
  <c r="C12" i="2" s="1"/>
  <c r="C26" i="2"/>
  <c r="U36" i="1"/>
  <c r="AC36" i="1"/>
  <c r="AK36" i="1"/>
  <c r="J5" i="2"/>
  <c r="K24" i="3"/>
  <c r="K35" i="3" s="1"/>
  <c r="V36" i="1"/>
  <c r="E25" i="2"/>
  <c r="D8" i="2"/>
  <c r="C8" i="2" s="1"/>
  <c r="E7" i="2"/>
  <c r="G15" i="2"/>
  <c r="F22" i="2"/>
  <c r="I22" i="2"/>
  <c r="I21" i="2" s="1"/>
  <c r="H24" i="2"/>
  <c r="H15" i="2"/>
  <c r="G24" i="3"/>
  <c r="G35" i="3" s="1"/>
  <c r="K23" i="3"/>
  <c r="L10" i="2"/>
  <c r="J23" i="2"/>
  <c r="J15" i="2"/>
  <c r="J22" i="2" s="1"/>
  <c r="J34" i="2"/>
  <c r="D22" i="3"/>
  <c r="L23" i="3"/>
  <c r="R17" i="4"/>
  <c r="Q17" i="4" s="1"/>
  <c r="Q18" i="4"/>
  <c r="AB18" i="4"/>
  <c r="AB17" i="4" s="1"/>
  <c r="AJ18" i="4"/>
  <c r="AJ17" i="4" s="1"/>
  <c r="C15" i="4"/>
  <c r="C30" i="3"/>
  <c r="D7" i="4"/>
  <c r="E19" i="4"/>
  <c r="D19" i="4" s="1"/>
  <c r="AK17" i="4"/>
  <c r="L24" i="3"/>
  <c r="L35" i="3" s="1"/>
  <c r="K9" i="3"/>
  <c r="C9" i="4"/>
  <c r="K7" i="2"/>
  <c r="K25" i="2"/>
  <c r="K36" i="2" s="1"/>
  <c r="F11" i="2"/>
  <c r="F25" i="2" s="1"/>
  <c r="F10" i="3"/>
  <c r="D10" i="3" s="1"/>
  <c r="C10" i="3" s="1"/>
  <c r="D11" i="3"/>
  <c r="C11" i="3" s="1"/>
  <c r="C13" i="3"/>
  <c r="G23" i="3"/>
  <c r="G14" i="3"/>
  <c r="G21" i="3" s="1"/>
  <c r="C16" i="3"/>
  <c r="O23" i="4"/>
  <c r="O27" i="4" s="1"/>
  <c r="L17" i="4"/>
  <c r="L25" i="2"/>
  <c r="L36" i="2" s="1"/>
  <c r="D17" i="2"/>
  <c r="C17" i="2" s="1"/>
  <c r="E24" i="2"/>
  <c r="D24" i="2" s="1"/>
  <c r="F21" i="3"/>
  <c r="E24" i="3"/>
  <c r="J22" i="3"/>
  <c r="J33" i="3" s="1"/>
  <c r="J14" i="3"/>
  <c r="H23" i="3"/>
  <c r="J27" i="4"/>
  <c r="AC27" i="4"/>
  <c r="K17" i="4"/>
  <c r="T18" i="4"/>
  <c r="C18" i="4" s="1"/>
  <c r="AD17" i="4"/>
  <c r="AL17" i="4"/>
  <c r="X17" i="4"/>
  <c r="C20" i="4"/>
  <c r="C6" i="4"/>
  <c r="T12" i="4"/>
  <c r="C12" i="4" s="1"/>
  <c r="U11" i="4"/>
  <c r="V17" i="4"/>
  <c r="AF18" i="4"/>
  <c r="AF17" i="4" s="1"/>
  <c r="Y21" i="4"/>
  <c r="E14" i="3"/>
  <c r="E9" i="3" s="1"/>
  <c r="D15" i="3"/>
  <c r="C15" i="3" s="1"/>
  <c r="Q19" i="4"/>
  <c r="C19" i="4" s="1"/>
  <c r="D18" i="4"/>
  <c r="E17" i="4"/>
  <c r="D17" i="4" s="1"/>
  <c r="M17" i="4"/>
  <c r="W17" i="4"/>
  <c r="Q23" i="4"/>
  <c r="T24" i="4"/>
  <c r="Q25" i="4"/>
  <c r="AC19" i="4"/>
  <c r="AC17" i="4" s="1"/>
  <c r="D12" i="4"/>
  <c r="E11" i="4"/>
  <c r="F17" i="4"/>
  <c r="N17" i="4"/>
  <c r="AG17" i="4"/>
  <c r="C16" i="4"/>
  <c r="T7" i="4"/>
  <c r="U19" i="4"/>
  <c r="T19" i="4" s="1"/>
  <c r="C10" i="4"/>
  <c r="AA27" i="4"/>
  <c r="G17" i="4"/>
  <c r="O17" i="4"/>
  <c r="Z17" i="4"/>
  <c r="Y17" i="4" s="1"/>
  <c r="Y18" i="4"/>
  <c r="AH17" i="4"/>
  <c r="D9" i="4"/>
  <c r="T9" i="4"/>
  <c r="AC9" i="4"/>
  <c r="AC21" i="4"/>
  <c r="AK9" i="4"/>
  <c r="AK21" i="4"/>
  <c r="N27" i="4"/>
  <c r="P27" i="4"/>
  <c r="AA17" i="4"/>
  <c r="AI17" i="4"/>
  <c r="W27" i="4"/>
  <c r="Q7" i="4"/>
  <c r="C7" i="4" s="1"/>
  <c r="Y7" i="4"/>
  <c r="AH9" i="4"/>
  <c r="R11" i="4"/>
  <c r="Q14" i="4"/>
  <c r="C14" i="4" s="1"/>
  <c r="Y14" i="4"/>
  <c r="E21" i="4"/>
  <c r="D21" i="4" s="1"/>
  <c r="M21" i="4"/>
  <c r="U21" i="4"/>
  <c r="T21" i="4" s="1"/>
  <c r="N21" i="4"/>
  <c r="AE21" i="4"/>
  <c r="AE17" i="4" s="1"/>
  <c r="N23" i="4"/>
  <c r="D14" i="4"/>
  <c r="T14" i="4"/>
  <c r="G9" i="3" l="1"/>
  <c r="G20" i="3"/>
  <c r="H20" i="3"/>
  <c r="C24" i="2"/>
  <c r="K21" i="2"/>
  <c r="T12" i="1"/>
  <c r="AO23" i="1"/>
  <c r="O27" i="1"/>
  <c r="T26" i="1"/>
  <c r="Z7" i="1"/>
  <c r="T19" i="1"/>
  <c r="W23" i="1"/>
  <c r="AQ23" i="1"/>
  <c r="P23" i="1"/>
  <c r="O23" i="1" s="1"/>
  <c r="T18" i="1"/>
  <c r="F12" i="1"/>
  <c r="W34" i="1"/>
  <c r="AE34" i="1"/>
  <c r="AE32" i="1"/>
  <c r="T10" i="1"/>
  <c r="J36" i="2"/>
  <c r="K9" i="1"/>
  <c r="K27" i="1" s="1"/>
  <c r="F36" i="2"/>
  <c r="E9" i="1"/>
  <c r="E27" i="1" s="1"/>
  <c r="F9" i="3"/>
  <c r="D9" i="3" s="1"/>
  <c r="F24" i="3"/>
  <c r="F35" i="3" s="1"/>
  <c r="D11" i="2"/>
  <c r="C11" i="2" s="1"/>
  <c r="H34" i="1"/>
  <c r="H32" i="1" s="1"/>
  <c r="H9" i="2"/>
  <c r="H31" i="1"/>
  <c r="H37" i="1" s="1"/>
  <c r="H7" i="1"/>
  <c r="F7" i="1" s="1"/>
  <c r="C34" i="1"/>
  <c r="I34" i="1"/>
  <c r="J32" i="1"/>
  <c r="I32" i="1" s="1"/>
  <c r="K37" i="1"/>
  <c r="K29" i="1"/>
  <c r="V37" i="1"/>
  <c r="V29" i="1"/>
  <c r="AD23" i="1"/>
  <c r="D11" i="4"/>
  <c r="F21" i="2"/>
  <c r="AF37" i="1"/>
  <c r="AE31" i="1"/>
  <c r="AC37" i="1"/>
  <c r="AC29" i="1"/>
  <c r="I32" i="2"/>
  <c r="I30" i="2" s="1"/>
  <c r="I8" i="3"/>
  <c r="I29" i="2"/>
  <c r="I35" i="2" s="1"/>
  <c r="I7" i="2"/>
  <c r="P34" i="1"/>
  <c r="P31" i="1"/>
  <c r="O10" i="1"/>
  <c r="P7" i="1"/>
  <c r="O7" i="1" s="1"/>
  <c r="AO37" i="1"/>
  <c r="AO29" i="1"/>
  <c r="C22" i="3"/>
  <c r="L20" i="3"/>
  <c r="G22" i="2"/>
  <c r="G21" i="2" s="1"/>
  <c r="G10" i="2"/>
  <c r="AG23" i="1"/>
  <c r="AE23" i="1" s="1"/>
  <c r="L29" i="2"/>
  <c r="L35" i="2" s="1"/>
  <c r="L8" i="3"/>
  <c r="L32" i="2"/>
  <c r="L30" i="2" s="1"/>
  <c r="L7" i="2"/>
  <c r="AJ34" i="1"/>
  <c r="AJ32" i="1" s="1"/>
  <c r="AJ31" i="1"/>
  <c r="D37" i="1"/>
  <c r="C31" i="1"/>
  <c r="W38" i="1"/>
  <c r="F29" i="2"/>
  <c r="F35" i="2" s="1"/>
  <c r="F8" i="3"/>
  <c r="F32" i="2"/>
  <c r="F30" i="2" s="1"/>
  <c r="F7" i="2"/>
  <c r="D7" i="2" s="1"/>
  <c r="R27" i="4"/>
  <c r="Q11" i="4"/>
  <c r="C21" i="4"/>
  <c r="U27" i="4"/>
  <c r="T11" i="4"/>
  <c r="T27" i="4" s="1"/>
  <c r="J21" i="3"/>
  <c r="J20" i="3" s="1"/>
  <c r="J9" i="3"/>
  <c r="D19" i="3"/>
  <c r="C19" i="3" s="1"/>
  <c r="E23" i="3"/>
  <c r="D23" i="3" s="1"/>
  <c r="C23" i="3" s="1"/>
  <c r="J10" i="2"/>
  <c r="D32" i="1"/>
  <c r="C32" i="1" s="1"/>
  <c r="AA36" i="1"/>
  <c r="W7" i="1"/>
  <c r="U37" i="1"/>
  <c r="U35" i="1" s="1"/>
  <c r="Z31" i="1"/>
  <c r="AA37" i="1"/>
  <c r="L9" i="1"/>
  <c r="L27" i="1" s="1"/>
  <c r="AE27" i="1"/>
  <c r="F10" i="1"/>
  <c r="U17" i="4"/>
  <c r="T17" i="4" s="1"/>
  <c r="C17" i="4" s="1"/>
  <c r="X37" i="1"/>
  <c r="X35" i="1" s="1"/>
  <c r="W31" i="1"/>
  <c r="U32" i="1"/>
  <c r="Z34" i="1"/>
  <c r="AA32" i="1"/>
  <c r="Z32" i="1" s="1"/>
  <c r="AB37" i="1"/>
  <c r="AB29" i="1"/>
  <c r="AE38" i="1"/>
  <c r="AB23" i="1"/>
  <c r="E35" i="3"/>
  <c r="D24" i="3"/>
  <c r="C24" i="3" s="1"/>
  <c r="J21" i="2"/>
  <c r="D25" i="2"/>
  <c r="C25" i="2" s="1"/>
  <c r="E36" i="2"/>
  <c r="K10" i="2"/>
  <c r="H23" i="1"/>
  <c r="G37" i="1"/>
  <c r="K29" i="2"/>
  <c r="K35" i="2" s="1"/>
  <c r="K8" i="3"/>
  <c r="K32" i="2"/>
  <c r="K30" i="2" s="1"/>
  <c r="I12" i="1"/>
  <c r="X32" i="1"/>
  <c r="W32" i="1" s="1"/>
  <c r="Z17" i="1"/>
  <c r="AA24" i="1"/>
  <c r="D9" i="1"/>
  <c r="D27" i="1" s="1"/>
  <c r="AH23" i="1"/>
  <c r="C25" i="4"/>
  <c r="H22" i="2"/>
  <c r="H21" i="2" s="1"/>
  <c r="H10" i="2"/>
  <c r="C10" i="2" s="1"/>
  <c r="C15" i="2"/>
  <c r="G36" i="2"/>
  <c r="G9" i="1"/>
  <c r="G27" i="1" s="1"/>
  <c r="AN37" i="1"/>
  <c r="AN29" i="1"/>
  <c r="G32" i="1"/>
  <c r="AM34" i="1"/>
  <c r="AM32" i="1" s="1"/>
  <c r="AM31" i="1"/>
  <c r="AM37" i="1" s="1"/>
  <c r="AM7" i="1"/>
  <c r="W36" i="1"/>
  <c r="C12" i="1"/>
  <c r="T33" i="1"/>
  <c r="C7" i="1"/>
  <c r="Y29" i="1"/>
  <c r="Y37" i="1"/>
  <c r="Q37" i="1"/>
  <c r="Q29" i="1"/>
  <c r="E21" i="3"/>
  <c r="D14" i="3"/>
  <c r="C14" i="3" s="1"/>
  <c r="F20" i="3"/>
  <c r="C26" i="4"/>
  <c r="D22" i="2"/>
  <c r="E21" i="2"/>
  <c r="D21" i="2" s="1"/>
  <c r="K20" i="3"/>
  <c r="AG37" i="1"/>
  <c r="AG29" i="1"/>
  <c r="G29" i="2"/>
  <c r="G35" i="2" s="1"/>
  <c r="G8" i="3"/>
  <c r="G32" i="2"/>
  <c r="G30" i="2" s="1"/>
  <c r="O36" i="1"/>
  <c r="AL34" i="1"/>
  <c r="AL32" i="1" s="1"/>
  <c r="AL31" i="1"/>
  <c r="AL37" i="1" s="1"/>
  <c r="AL7" i="1"/>
  <c r="AK37" i="1"/>
  <c r="AK29" i="1"/>
  <c r="E29" i="2"/>
  <c r="E8" i="3"/>
  <c r="D9" i="2"/>
  <c r="E32" i="2"/>
  <c r="AQ37" i="1"/>
  <c r="AQ29" i="1"/>
  <c r="I31" i="1"/>
  <c r="J37" i="1"/>
  <c r="J24" i="1"/>
  <c r="I17" i="1"/>
  <c r="J29" i="2"/>
  <c r="J8" i="3"/>
  <c r="J32" i="2"/>
  <c r="J30" i="2" s="1"/>
  <c r="AP23" i="1"/>
  <c r="J9" i="1"/>
  <c r="AA27" i="1"/>
  <c r="C9" i="3" l="1"/>
  <c r="C21" i="2"/>
  <c r="C22" i="2"/>
  <c r="AA23" i="1"/>
  <c r="Z23" i="1" s="1"/>
  <c r="F32" i="1"/>
  <c r="V35" i="1"/>
  <c r="AC35" i="1"/>
  <c r="F34" i="1"/>
  <c r="C9" i="2"/>
  <c r="T7" i="1"/>
  <c r="AB35" i="1"/>
  <c r="AN35" i="1"/>
  <c r="Y35" i="1"/>
  <c r="W35" i="1" s="1"/>
  <c r="F31" i="1"/>
  <c r="T34" i="1"/>
  <c r="T31" i="1"/>
  <c r="T23" i="1"/>
  <c r="Q27" i="4"/>
  <c r="C11" i="4"/>
  <c r="O31" i="1"/>
  <c r="P37" i="1"/>
  <c r="H8" i="3"/>
  <c r="H32" i="2"/>
  <c r="H30" i="2" s="1"/>
  <c r="H7" i="2"/>
  <c r="C7" i="2" s="1"/>
  <c r="H29" i="2"/>
  <c r="H35" i="2" s="1"/>
  <c r="I37" i="1"/>
  <c r="Z24" i="1"/>
  <c r="T24" i="1" s="1"/>
  <c r="T17" i="1"/>
  <c r="F37" i="1"/>
  <c r="D35" i="3"/>
  <c r="C35" i="3" s="1"/>
  <c r="Z37" i="1"/>
  <c r="O34" i="1"/>
  <c r="P32" i="1"/>
  <c r="O32" i="1" s="1"/>
  <c r="AE37" i="1"/>
  <c r="L38" i="1"/>
  <c r="L23" i="1"/>
  <c r="C37" i="1"/>
  <c r="AQ35" i="1"/>
  <c r="G31" i="3"/>
  <c r="G29" i="3" s="1"/>
  <c r="G28" i="3"/>
  <c r="G34" i="3" s="1"/>
  <c r="G6" i="3"/>
  <c r="AJ37" i="1"/>
  <c r="AJ29" i="1"/>
  <c r="J35" i="2"/>
  <c r="J27" i="2"/>
  <c r="I9" i="1"/>
  <c r="J27" i="1"/>
  <c r="J7" i="1"/>
  <c r="I7" i="1" s="1"/>
  <c r="W37" i="1"/>
  <c r="J6" i="3"/>
  <c r="J31" i="3"/>
  <c r="J29" i="3" s="1"/>
  <c r="J28" i="3"/>
  <c r="D32" i="2"/>
  <c r="E30" i="2"/>
  <c r="D30" i="2" s="1"/>
  <c r="T32" i="1"/>
  <c r="U29" i="1"/>
  <c r="Q35" i="1"/>
  <c r="I6" i="3"/>
  <c r="I31" i="3"/>
  <c r="I29" i="3" s="1"/>
  <c r="I28" i="3"/>
  <c r="I34" i="3" s="1"/>
  <c r="AA29" i="1"/>
  <c r="Z29" i="1" s="1"/>
  <c r="D21" i="3"/>
  <c r="C21" i="3" s="1"/>
  <c r="E20" i="3"/>
  <c r="D20" i="3" s="1"/>
  <c r="C20" i="3" s="1"/>
  <c r="K31" i="3"/>
  <c r="K29" i="3" s="1"/>
  <c r="K28" i="3"/>
  <c r="K34" i="3" s="1"/>
  <c r="K6" i="3"/>
  <c r="D36" i="2"/>
  <c r="C36" i="2" s="1"/>
  <c r="F28" i="3"/>
  <c r="F34" i="3" s="1"/>
  <c r="F31" i="3"/>
  <c r="F29" i="3" s="1"/>
  <c r="F6" i="3"/>
  <c r="AO35" i="1"/>
  <c r="K38" i="1"/>
  <c r="K23" i="1"/>
  <c r="AK35" i="1"/>
  <c r="E28" i="3"/>
  <c r="E31" i="3"/>
  <c r="D8" i="3"/>
  <c r="E6" i="3"/>
  <c r="AG35" i="1"/>
  <c r="G38" i="1"/>
  <c r="F27" i="1"/>
  <c r="G23" i="1"/>
  <c r="F23" i="1" s="1"/>
  <c r="AA38" i="1"/>
  <c r="Z27" i="1"/>
  <c r="T27" i="1" s="1"/>
  <c r="I24" i="1"/>
  <c r="D29" i="2"/>
  <c r="E35" i="2"/>
  <c r="D38" i="1"/>
  <c r="C27" i="1"/>
  <c r="D23" i="1"/>
  <c r="X29" i="1"/>
  <c r="W29" i="1" s="1"/>
  <c r="Z36" i="1"/>
  <c r="L31" i="3"/>
  <c r="L29" i="3" s="1"/>
  <c r="L28" i="3"/>
  <c r="L34" i="3" s="1"/>
  <c r="L6" i="3"/>
  <c r="E38" i="1"/>
  <c r="E23" i="1"/>
  <c r="C8" i="3" l="1"/>
  <c r="C32" i="2"/>
  <c r="C30" i="2"/>
  <c r="C29" i="2"/>
  <c r="C23" i="1"/>
  <c r="T37" i="1"/>
  <c r="D6" i="3"/>
  <c r="P29" i="1"/>
  <c r="O29" i="1" s="1"/>
  <c r="C38" i="1"/>
  <c r="D31" i="3"/>
  <c r="E29" i="3"/>
  <c r="D29" i="3" s="1"/>
  <c r="J34" i="3"/>
  <c r="J26" i="3"/>
  <c r="J38" i="1"/>
  <c r="I27" i="1"/>
  <c r="O37" i="1"/>
  <c r="P35" i="1"/>
  <c r="O35" i="1" s="1"/>
  <c r="Z38" i="1"/>
  <c r="T38" i="1" s="1"/>
  <c r="E34" i="3"/>
  <c r="D28" i="3"/>
  <c r="D35" i="2"/>
  <c r="C35" i="2" s="1"/>
  <c r="J33" i="2"/>
  <c r="AA35" i="1"/>
  <c r="Z35" i="1" s="1"/>
  <c r="K35" i="1"/>
  <c r="F38" i="1"/>
  <c r="J23" i="1"/>
  <c r="I23" i="1" s="1"/>
  <c r="AJ35" i="1"/>
  <c r="H28" i="3"/>
  <c r="H34" i="3" s="1"/>
  <c r="H6" i="3"/>
  <c r="H31" i="3"/>
  <c r="H29" i="3" s="1"/>
  <c r="C6" i="3" l="1"/>
  <c r="C28" i="3"/>
  <c r="I38" i="1"/>
  <c r="J32" i="3"/>
  <c r="C29" i="3"/>
  <c r="D34" i="3"/>
  <c r="C34" i="3" s="1"/>
  <c r="C31" i="3"/>
  <c r="AK23" i="4" l="1"/>
  <c r="AK27" i="4" s="1"/>
  <c r="R36" i="1" l="1"/>
  <c r="R29" i="1"/>
  <c r="R35" i="1" l="1"/>
  <c r="H23" i="4" l="1"/>
  <c r="H27" i="4" s="1"/>
  <c r="H36" i="1" l="1"/>
  <c r="H29" i="1"/>
  <c r="H27" i="2"/>
  <c r="H34" i="2"/>
  <c r="H33" i="3"/>
  <c r="H26" i="3"/>
  <c r="H32" i="3" l="1"/>
  <c r="H33" i="2"/>
  <c r="H35" i="1"/>
  <c r="AI36" i="1" l="1"/>
  <c r="AI29" i="1"/>
  <c r="L34" i="2"/>
  <c r="L27" i="2"/>
  <c r="L33" i="3"/>
  <c r="L26" i="3"/>
  <c r="L32" i="3" l="1"/>
  <c r="L33" i="2"/>
  <c r="AI35" i="1"/>
  <c r="K23" i="4" l="1"/>
  <c r="K27" i="4" s="1"/>
  <c r="L36" i="1" l="1"/>
  <c r="L29" i="1"/>
  <c r="K27" i="2"/>
  <c r="K34" i="2"/>
  <c r="K33" i="3"/>
  <c r="K26" i="3"/>
  <c r="K32" i="3" l="1"/>
  <c r="K33" i="2"/>
  <c r="L35" i="1"/>
  <c r="AI23" i="4" l="1"/>
  <c r="AI27" i="4" s="1"/>
  <c r="AP36" i="1" l="1"/>
  <c r="AP29" i="1"/>
  <c r="AP35" i="1" l="1"/>
  <c r="G23" i="4" l="1"/>
  <c r="G27" i="4" s="1"/>
  <c r="AM36" i="1"/>
  <c r="AM29" i="1"/>
  <c r="AB23" i="4"/>
  <c r="AB27" i="4" s="1"/>
  <c r="F23" i="4"/>
  <c r="F27" i="4" s="1"/>
  <c r="L23" i="4"/>
  <c r="L27" i="4" s="1"/>
  <c r="M23" i="4"/>
  <c r="M27" i="4" s="1"/>
  <c r="AE23" i="4"/>
  <c r="AE27" i="4" s="1"/>
  <c r="I23" i="4"/>
  <c r="I27" i="4" s="1"/>
  <c r="X23" i="4" l="1"/>
  <c r="AH36" i="1"/>
  <c r="AH29" i="1"/>
  <c r="J36" i="1"/>
  <c r="I30" i="1"/>
  <c r="J29" i="1"/>
  <c r="I29" i="1" s="1"/>
  <c r="N36" i="1"/>
  <c r="N29" i="1"/>
  <c r="M36" i="1"/>
  <c r="M29" i="1"/>
  <c r="I27" i="2"/>
  <c r="I34" i="2"/>
  <c r="I26" i="3"/>
  <c r="I33" i="3"/>
  <c r="D36" i="1"/>
  <c r="D29" i="1"/>
  <c r="C30" i="1"/>
  <c r="E36" i="1"/>
  <c r="E29" i="1"/>
  <c r="AM35" i="1"/>
  <c r="E34" i="2"/>
  <c r="D28" i="2"/>
  <c r="C28" i="2" s="1"/>
  <c r="E27" i="2"/>
  <c r="F27" i="2"/>
  <c r="F34" i="2"/>
  <c r="G36" i="1"/>
  <c r="G29" i="1"/>
  <c r="F29" i="1" s="1"/>
  <c r="F30" i="1"/>
  <c r="AF36" i="1"/>
  <c r="AF29" i="1"/>
  <c r="AE29" i="1" s="1"/>
  <c r="AE30" i="1"/>
  <c r="E33" i="3"/>
  <c r="D27" i="3"/>
  <c r="C27" i="3" s="1"/>
  <c r="E26" i="3"/>
  <c r="F33" i="3"/>
  <c r="F26" i="3"/>
  <c r="G27" i="2"/>
  <c r="G34" i="2"/>
  <c r="Z23" i="4"/>
  <c r="Y24" i="4"/>
  <c r="D24" i="4"/>
  <c r="E23" i="4"/>
  <c r="AL36" i="1"/>
  <c r="AL29" i="1"/>
  <c r="AD36" i="1"/>
  <c r="AD29" i="1"/>
  <c r="T30" i="1"/>
  <c r="G26" i="3"/>
  <c r="G33" i="3"/>
  <c r="D26" i="3" l="1"/>
  <c r="C24" i="4"/>
  <c r="T29" i="1"/>
  <c r="G33" i="2"/>
  <c r="D35" i="1"/>
  <c r="C36" i="1"/>
  <c r="N35" i="1"/>
  <c r="AD35" i="1"/>
  <c r="AE36" i="1"/>
  <c r="T36" i="1" s="1"/>
  <c r="AF35" i="1"/>
  <c r="AE35" i="1" s="1"/>
  <c r="D34" i="2"/>
  <c r="C34" i="2" s="1"/>
  <c r="E33" i="2"/>
  <c r="I32" i="3"/>
  <c r="AL35" i="1"/>
  <c r="F32" i="3"/>
  <c r="I33" i="2"/>
  <c r="I36" i="1"/>
  <c r="J35" i="1"/>
  <c r="I35" i="1" s="1"/>
  <c r="D23" i="4"/>
  <c r="D27" i="4" s="1"/>
  <c r="E27" i="4"/>
  <c r="C26" i="3"/>
  <c r="F36" i="1"/>
  <c r="G35" i="1"/>
  <c r="F35" i="1" s="1"/>
  <c r="G32" i="3"/>
  <c r="F33" i="2"/>
  <c r="E35" i="1"/>
  <c r="AH35" i="1"/>
  <c r="E32" i="3"/>
  <c r="D33" i="3"/>
  <c r="C33" i="3" s="1"/>
  <c r="M35" i="1"/>
  <c r="Y23" i="4"/>
  <c r="Y27" i="4" s="1"/>
  <c r="Z27" i="4"/>
  <c r="D27" i="2"/>
  <c r="C27" i="2" s="1"/>
  <c r="C29" i="1"/>
  <c r="X27" i="4"/>
  <c r="D33" i="2" l="1"/>
  <c r="C33" i="2" s="1"/>
  <c r="C23" i="4"/>
  <c r="C27" i="4" s="1"/>
  <c r="C35" i="1"/>
  <c r="D32" i="3"/>
  <c r="C32" i="3" s="1"/>
  <c r="T35" i="1"/>
</calcChain>
</file>

<file path=xl/sharedStrings.xml><?xml version="1.0" encoding="utf-8"?>
<sst xmlns="http://schemas.openxmlformats.org/spreadsheetml/2006/main" count="526" uniqueCount="209">
  <si>
    <t>№ п/п</t>
  </si>
  <si>
    <t>НАИМЕПодрядчик 4НИЕ</t>
  </si>
  <si>
    <t>Подрядчик 1</t>
  </si>
  <si>
    <t>Подрядчик 2</t>
  </si>
  <si>
    <t>Подрядчик 3</t>
  </si>
  <si>
    <t>Подрядчик 4</t>
  </si>
  <si>
    <t>Подрядчик 5</t>
  </si>
  <si>
    <t>Подрядчик 6</t>
  </si>
  <si>
    <t>Подрядчик 7</t>
  </si>
  <si>
    <t>Прочие подрядчики</t>
  </si>
  <si>
    <t>Подрядчик 10</t>
  </si>
  <si>
    <t>Подрядчик 12</t>
  </si>
  <si>
    <t>Подрядчик 13</t>
  </si>
  <si>
    <t>Подрядчик 11</t>
  </si>
  <si>
    <t>Подрядчик 14</t>
  </si>
  <si>
    <t>Подрядчик 15</t>
  </si>
  <si>
    <t>Подрядчик 16</t>
  </si>
  <si>
    <t>Подрядчик 17</t>
  </si>
  <si>
    <t>Подрядчик 18</t>
  </si>
  <si>
    <t>Подрядчик 19</t>
  </si>
  <si>
    <t>Подрядчик 20</t>
  </si>
  <si>
    <t>Подрядчик 21</t>
  </si>
  <si>
    <t>Подрядчик 22</t>
  </si>
  <si>
    <t>Подрядчик 23</t>
  </si>
  <si>
    <t>Подрядчик 24</t>
  </si>
  <si>
    <t>млн руб. с НДС</t>
  </si>
  <si>
    <t>дата актуальности НЗП</t>
  </si>
  <si>
    <t>договор</t>
  </si>
  <si>
    <t xml:space="preserve">НГ.12 </t>
  </si>
  <si>
    <t>вид работ/проект</t>
  </si>
  <si>
    <t>Монолит и ММР</t>
  </si>
  <si>
    <t>Монолит</t>
  </si>
  <si>
    <t>ММР ЭМР</t>
  </si>
  <si>
    <t>монолит ПС и ОЗХ</t>
  </si>
  <si>
    <t>ММР ПС</t>
  </si>
  <si>
    <t>Генподряд, резервуары ГП</t>
  </si>
  <si>
    <t>ГП мПЭ</t>
  </si>
  <si>
    <t>Объект 2: Изъятые объемы у Ямата по тит 1401</t>
  </si>
  <si>
    <t>Резервуары готовой продукци</t>
  </si>
  <si>
    <t>Эстакады ОЗХ</t>
  </si>
  <si>
    <t>Склад ГП</t>
  </si>
  <si>
    <t>Водооборотный цикл, резервуары сырья</t>
  </si>
  <si>
    <t>Врезки в действующие трубопроводы</t>
  </si>
  <si>
    <t>Водооборотный цикл</t>
  </si>
  <si>
    <t>Подстанции и сети</t>
  </si>
  <si>
    <t>СЦ</t>
  </si>
  <si>
    <t>ПЭ</t>
  </si>
  <si>
    <t>ЭБСМ</t>
  </si>
  <si>
    <t>ПС и ОЗХ</t>
  </si>
  <si>
    <t>Монтаж МК</t>
  </si>
  <si>
    <t>Объемы Ямата по ОЗХ</t>
  </si>
  <si>
    <t>Цех префабрикации</t>
  </si>
  <si>
    <t>курс</t>
  </si>
  <si>
    <t>1.1.</t>
  </si>
  <si>
    <t>Стоимость работ по контракту (подписано)</t>
  </si>
  <si>
    <t>1.2.</t>
  </si>
  <si>
    <t>Стоимость работ по контракту (прогноз)</t>
  </si>
  <si>
    <t>Выполнение всего, в том числе</t>
  </si>
  <si>
    <t>2.1.</t>
  </si>
  <si>
    <t>Принято (КС-2)</t>
  </si>
  <si>
    <t>2.2.</t>
  </si>
  <si>
    <t>Курсовая разница на приемку</t>
  </si>
  <si>
    <t>2.3.</t>
  </si>
  <si>
    <t>НЗП</t>
  </si>
  <si>
    <t>Выполнено всего из отчета НЗП</t>
  </si>
  <si>
    <t xml:space="preserve"> Профинансировано всего, в т.ч.</t>
  </si>
  <si>
    <t>3.1.</t>
  </si>
  <si>
    <t xml:space="preserve">Выплачено по КС </t>
  </si>
  <si>
    <t>3.1.1.</t>
  </si>
  <si>
    <t>Прямая оплата</t>
  </si>
  <si>
    <t>3.1.2.</t>
  </si>
  <si>
    <t>По факторингу</t>
  </si>
  <si>
    <t>3.1.3.</t>
  </si>
  <si>
    <t>Взаимозачет (штрафы ,межконтрактные зачеты)</t>
  </si>
  <si>
    <t>3.2.</t>
  </si>
  <si>
    <t>Авансы</t>
  </si>
  <si>
    <t>3.2.1.</t>
  </si>
  <si>
    <t>под БГ</t>
  </si>
  <si>
    <t>3.2.2.</t>
  </si>
  <si>
    <t>под НЗП</t>
  </si>
  <si>
    <t>3.3.</t>
  </si>
  <si>
    <t>Зачет аванса</t>
  </si>
  <si>
    <t>3.3.1.</t>
  </si>
  <si>
    <t>3.3.2.</t>
  </si>
  <si>
    <t xml:space="preserve"> Задолженность всего, в т.ч.</t>
  </si>
  <si>
    <t>4.1.</t>
  </si>
  <si>
    <t>Остаток незачтенного аванса</t>
  </si>
  <si>
    <t>4.1.1.</t>
  </si>
  <si>
    <t>4.1.2.</t>
  </si>
  <si>
    <t>4.2.</t>
  </si>
  <si>
    <t>Кредиторская задолженность</t>
  </si>
  <si>
    <t>4.3.</t>
  </si>
  <si>
    <t>Неисполненные встречные требования</t>
  </si>
  <si>
    <t>Обеспечение</t>
  </si>
  <si>
    <t>5.1.</t>
  </si>
  <si>
    <t>Банковская гарантия</t>
  </si>
  <si>
    <t>5.2.</t>
  </si>
  <si>
    <t>НЗП * 0,8 (коэф.конс)</t>
  </si>
  <si>
    <t>5.3.</t>
  </si>
  <si>
    <t>ГУ</t>
  </si>
  <si>
    <t>5.3.1.</t>
  </si>
  <si>
    <t>ГУ с принятых работ</t>
  </si>
  <si>
    <t>5.3.2.</t>
  </si>
  <si>
    <t>ГУ с НЗП</t>
  </si>
  <si>
    <t>Баланс взаиморасчетов (без учета ГУ)</t>
  </si>
  <si>
    <t>6.1.</t>
  </si>
  <si>
    <t>по БГ</t>
  </si>
  <si>
    <t>6.2.</t>
  </si>
  <si>
    <t>по НЗП</t>
  </si>
  <si>
    <t>6.3.</t>
  </si>
  <si>
    <t>по ДЗ/КЗ</t>
  </si>
  <si>
    <t>ВСЕГО млн USD с НДС</t>
  </si>
  <si>
    <t>млн в валюте контракта с НДС</t>
  </si>
  <si>
    <t xml:space="preserve">Стоимость работ по контракту </t>
  </si>
  <si>
    <t>Взаимозачет (штрафы, проживание, межконтрактные зачеты)</t>
  </si>
  <si>
    <t>Авансы под БГ</t>
  </si>
  <si>
    <t>Авансы ОБС / НЗП</t>
  </si>
  <si>
    <t>Зачет под БГ</t>
  </si>
  <si>
    <t>Зачет под ОБС / НЗП</t>
  </si>
  <si>
    <t>НЗА под БГ</t>
  </si>
  <si>
    <t>НЗА под ОБС / НЗП</t>
  </si>
  <si>
    <t>млн в валюте контракта без НДС</t>
  </si>
  <si>
    <t>Взаимозачет</t>
  </si>
  <si>
    <t>ВСЕГО руб.</t>
  </si>
  <si>
    <t>Подрядчик 25</t>
  </si>
  <si>
    <t>млн руб. без НДС</t>
  </si>
  <si>
    <t>сц МОНОЛИТ ИЗЪЯТИЕ</t>
  </si>
  <si>
    <t>Доля НЗП от выполненных работ</t>
  </si>
  <si>
    <t>Неисполненные встречные требования заказчика</t>
  </si>
  <si>
    <t xml:space="preserve"> Профинансировано всего</t>
  </si>
  <si>
    <t>Выплачено по КС (ком. кредит)</t>
  </si>
  <si>
    <t>4.4.</t>
  </si>
  <si>
    <t>Авансы на ОБС</t>
  </si>
  <si>
    <t xml:space="preserve"> Задолженность всего</t>
  </si>
  <si>
    <t>По авансам</t>
  </si>
  <si>
    <t>По выполненным работам «-» *</t>
  </si>
  <si>
    <t>Гарантийным удержаниям «-»</t>
  </si>
  <si>
    <t>5.4.</t>
  </si>
  <si>
    <t>Задолженность по НЗП  (со знаком "-")</t>
  </si>
  <si>
    <t>5.5.</t>
  </si>
  <si>
    <t>Прочие удержания (штрафы, неустойки, проч.) «-»</t>
  </si>
  <si>
    <t>Обеспечение (БГ)</t>
  </si>
  <si>
    <t>Материалы поставленные на стройплощадку</t>
  </si>
  <si>
    <t>Иное обеспечение</t>
  </si>
  <si>
    <t>Кредитный риск (с НЗП)</t>
  </si>
  <si>
    <t>Фактор возникновения НЗП</t>
  </si>
  <si>
    <t>Прогноз КС-2</t>
  </si>
  <si>
    <t>Не сданы RFI</t>
  </si>
  <si>
    <t>Неполный комплект ИД</t>
  </si>
  <si>
    <t>Прочее</t>
  </si>
  <si>
    <t>Нет ЕР</t>
  </si>
  <si>
    <t>Ямата ММР</t>
  </si>
  <si>
    <t>вид работ</t>
  </si>
  <si>
    <t>монолит</t>
  </si>
  <si>
    <t>генподряд</t>
  </si>
  <si>
    <t>эстакады ОЗХ</t>
  </si>
  <si>
    <t>Стоимость контракта, млн руб.</t>
  </si>
  <si>
    <t>Статус контракта</t>
  </si>
  <si>
    <t>подписан</t>
  </si>
  <si>
    <t>проект</t>
  </si>
  <si>
    <t>Подготовка платежей</t>
  </si>
  <si>
    <t>23 млн $ на 29.07</t>
  </si>
  <si>
    <t>23 млн $ на 22.07</t>
  </si>
  <si>
    <t>август</t>
  </si>
  <si>
    <t>Статус ОБС-счета</t>
  </si>
  <si>
    <t>открыт Сбер</t>
  </si>
  <si>
    <t>нет</t>
  </si>
  <si>
    <t>Статус ДБС</t>
  </si>
  <si>
    <t>получен</t>
  </si>
  <si>
    <t>Статус БГ</t>
  </si>
  <si>
    <t>получена</t>
  </si>
  <si>
    <t>риск возникновения ПДЗ в связи с окончанием сроков действия контрактов</t>
  </si>
  <si>
    <t>фин.потоки и контроль ПДЗ</t>
  </si>
  <si>
    <t>Подрядчик 8</t>
  </si>
  <si>
    <t>Подрядчик 9</t>
  </si>
  <si>
    <t>Дог.9756</t>
  </si>
  <si>
    <t>Дог.10675</t>
  </si>
  <si>
    <t>Дог.10221</t>
  </si>
  <si>
    <t>Дог.11996</t>
  </si>
  <si>
    <t>Дог.10321</t>
  </si>
  <si>
    <t>Дог.10321-5</t>
  </si>
  <si>
    <t>Дог.11980</t>
  </si>
  <si>
    <t>Дог.10539</t>
  </si>
  <si>
    <t>Дог.10988</t>
  </si>
  <si>
    <t>Дог.7449-10</t>
  </si>
  <si>
    <t>Дог.11458</t>
  </si>
  <si>
    <t>Дог.12009</t>
  </si>
  <si>
    <t>Дог.7038</t>
  </si>
  <si>
    <t>Дог.7043</t>
  </si>
  <si>
    <t>Дог.8833</t>
  </si>
  <si>
    <t>Дог.9211</t>
  </si>
  <si>
    <t>Дог.8713</t>
  </si>
  <si>
    <t>Дог.8714</t>
  </si>
  <si>
    <t>Дог.6016</t>
  </si>
  <si>
    <t>Дог.7766</t>
  </si>
  <si>
    <t>Дог.7766-2</t>
  </si>
  <si>
    <t>Дог.10434</t>
  </si>
  <si>
    <t>Дог.11820</t>
  </si>
  <si>
    <t>Дог.10144</t>
  </si>
  <si>
    <t>Дог.10148</t>
  </si>
  <si>
    <t>Дог.9305-1</t>
  </si>
  <si>
    <t>Дог.7151</t>
  </si>
  <si>
    <t>Дог.10619</t>
  </si>
  <si>
    <t>Дог.10937</t>
  </si>
  <si>
    <t>Дог.8172</t>
  </si>
  <si>
    <t>Дог.10274</t>
  </si>
  <si>
    <t>Дог.5348-8</t>
  </si>
  <si>
    <t>Дог.5348-9</t>
  </si>
  <si>
    <t>Дог.10965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</si>
</sst>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0\ _₽_-;\-* #,##0.00\ _₽_-;_-* &quot;-&quot;??\ _₽_-;_-@_-"/>
    <numFmt numFmtId="166" formatCode="_-* #,##0.0\ _₽_-;\-* #,##0.0\ _₽_-;_-* &quot;-&quot;??\ _₽_-;_-@_-"/>
  </numFmts>
  <fonts count="13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  <font>
      <sz val="9"/>
      <color rgb="FFFFFFFF"/>
      <name val="Arial"/>
      <family val="2"/>
      <charset val="204"/>
    </font>
    <font>
      <b/>
      <sz val="9"/>
      <color rgb="FFFFFFFF"/>
      <name val="Arial"/>
      <family val="2"/>
      <charset val="204"/>
    </font>
    <font>
      <b/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0"/>
      <color rgb="FF000000"/>
      <name val="Arial"/>
      <family val="2"/>
      <charset val="204"/>
    </font>
    <font>
      <i/>
      <sz val="11"/>
      <color theme="1"/>
      <name val="Aptos Narrow"/>
      <family val="2"/>
      <charset val="204"/>
      <scheme val="minor"/>
    </font>
    <font>
      <sz val="9"/>
      <color rgb="FF000000"/>
      <name val="Arial"/>
      <family val="2"/>
      <charset val="204"/>
    </font>
    <font>
      <sz val="14"/>
      <name val="Arial Narrow"/>
      <family val="2"/>
      <charset val="204"/>
    </font>
    <font>
      <b/>
      <sz val="9"/>
      <color rgb="FF00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008B9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/>
      <right/>
      <top style="thin">
        <color rgb="FFD9D9D9"/>
      </top>
      <bottom/>
      <diagonal/>
    </border>
    <border>
      <left style="thin">
        <color theme="2" tint="-0.249977111117893"/>
      </left>
      <right style="thin">
        <color theme="2" tint="-0.249977111117893"/>
      </right>
      <top style="hair">
        <color theme="2" tint="-0.249977111117893"/>
      </top>
      <bottom style="hair">
        <color theme="2" tint="-0.249977111117893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theme="2" tint="-0.249977111117893"/>
      </left>
      <right/>
      <top style="hair">
        <color theme="2" tint="-0.249977111117893"/>
      </top>
      <bottom style="hair">
        <color theme="2" tint="-0.249977111117893"/>
      </bottom>
      <diagonal/>
    </border>
  </borders>
  <cellStyleXfs count="5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3" fillId="2" borderId="1" xfId="0" applyFont="1" applyFill="1" applyBorder="1" applyAlignment="1">
      <alignment horizontal="center" vertical="center" wrapText="1" readingOrder="1"/>
    </xf>
    <xf numFmtId="0" fontId="3" fillId="2" borderId="2" xfId="0" applyFont="1" applyFill="1" applyBorder="1" applyAlignment="1">
      <alignment horizontal="center" vertical="center" wrapText="1" readingOrder="1"/>
    </xf>
    <xf numFmtId="0" fontId="3" fillId="2" borderId="3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/>
    </xf>
    <xf numFmtId="0" fontId="3" fillId="2" borderId="4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3" fillId="2" borderId="0" xfId="0" applyFont="1" applyFill="1" applyAlignment="1">
      <alignment horizontal="center" vertical="center" wrapText="1" readingOrder="1"/>
    </xf>
    <xf numFmtId="0" fontId="3" fillId="2" borderId="5" xfId="0" applyFont="1" applyFill="1" applyBorder="1" applyAlignment="1">
      <alignment horizontal="center" vertical="center" wrapText="1" readingOrder="1"/>
    </xf>
    <xf numFmtId="0" fontId="5" fillId="3" borderId="6" xfId="3" applyFont="1" applyFill="1" applyBorder="1" applyAlignment="1" applyProtection="1">
      <alignment horizontal="center" vertical="center"/>
      <protection locked="0"/>
    </xf>
    <xf numFmtId="0" fontId="6" fillId="4" borderId="7" xfId="0" applyFont="1" applyFill="1" applyBorder="1" applyAlignment="1">
      <alignment horizontal="left" vertical="center" wrapText="1" readingOrder="1"/>
    </xf>
    <xf numFmtId="3" fontId="6" fillId="4" borderId="8" xfId="0" applyNumberFormat="1" applyFont="1" applyFill="1" applyBorder="1" applyAlignment="1">
      <alignment horizontal="center" vertical="center" wrapText="1" readingOrder="1"/>
    </xf>
    <xf numFmtId="3" fontId="0" fillId="0" borderId="0" xfId="0" applyNumberFormat="1"/>
    <xf numFmtId="0" fontId="7" fillId="0" borderId="6" xfId="0" applyFont="1" applyBorder="1" applyAlignment="1">
      <alignment horizontal="center" vertical="center" wrapText="1" readingOrder="1"/>
    </xf>
    <xf numFmtId="0" fontId="8" fillId="0" borderId="7" xfId="0" applyFont="1" applyBorder="1" applyAlignment="1">
      <alignment horizontal="left" vertical="center" wrapText="1" indent="2" readingOrder="1"/>
    </xf>
    <xf numFmtId="3" fontId="8" fillId="0" borderId="8" xfId="0" applyNumberFormat="1" applyFont="1" applyBorder="1" applyAlignment="1">
      <alignment horizontal="center" vertical="top" wrapText="1" readingOrder="1"/>
    </xf>
    <xf numFmtId="3" fontId="8" fillId="0" borderId="9" xfId="0" applyNumberFormat="1" applyFont="1" applyBorder="1" applyAlignment="1">
      <alignment horizontal="center" vertical="top" wrapText="1" readingOrder="1"/>
    </xf>
    <xf numFmtId="3" fontId="8" fillId="0" borderId="0" xfId="0" applyNumberFormat="1" applyFont="1" applyAlignment="1">
      <alignment horizontal="center" vertical="top" wrapText="1" readingOrder="1"/>
    </xf>
    <xf numFmtId="3" fontId="8" fillId="0" borderId="8" xfId="0" applyNumberFormat="1" applyFont="1" applyBorder="1" applyAlignment="1">
      <alignment horizontal="center" vertical="center" wrapText="1" readingOrder="1"/>
    </xf>
    <xf numFmtId="164" fontId="6" fillId="4" borderId="8" xfId="0" applyNumberFormat="1" applyFont="1" applyFill="1" applyBorder="1" applyAlignment="1">
      <alignment horizontal="center" vertical="center" wrapText="1" readingOrder="1"/>
    </xf>
    <xf numFmtId="165" fontId="0" fillId="0" borderId="0" xfId="1" applyFont="1"/>
    <xf numFmtId="165" fontId="0" fillId="0" borderId="0" xfId="0" applyNumberFormat="1"/>
    <xf numFmtId="0" fontId="9" fillId="0" borderId="0" xfId="0" applyFont="1" applyAlignment="1">
      <alignment horizontal="center"/>
    </xf>
    <xf numFmtId="166" fontId="3" fillId="2" borderId="1" xfId="1" applyNumberFormat="1" applyFont="1" applyFill="1" applyBorder="1" applyAlignment="1">
      <alignment horizontal="center" vertical="center" wrapText="1" readingOrder="1"/>
    </xf>
    <xf numFmtId="164" fontId="8" fillId="0" borderId="8" xfId="0" applyNumberFormat="1" applyFont="1" applyBorder="1" applyAlignment="1">
      <alignment horizontal="center" vertical="top" wrapText="1" readingOrder="1"/>
    </xf>
    <xf numFmtId="4" fontId="8" fillId="0" borderId="8" xfId="0" applyNumberFormat="1" applyFont="1" applyBorder="1" applyAlignment="1">
      <alignment horizontal="center" vertical="top" wrapText="1" readingOrder="1"/>
    </xf>
    <xf numFmtId="164" fontId="0" fillId="0" borderId="0" xfId="0" applyNumberFormat="1"/>
    <xf numFmtId="14" fontId="0" fillId="5" borderId="0" xfId="0" applyNumberFormat="1" applyFill="1" applyAlignment="1">
      <alignment horizontal="center" vertical="center"/>
    </xf>
    <xf numFmtId="3" fontId="6" fillId="5" borderId="8" xfId="0" applyNumberFormat="1" applyFont="1" applyFill="1" applyBorder="1" applyAlignment="1">
      <alignment horizontal="center" vertical="center" wrapText="1" readingOrder="1"/>
    </xf>
    <xf numFmtId="9" fontId="7" fillId="0" borderId="6" xfId="2" applyFont="1" applyBorder="1" applyAlignment="1">
      <alignment horizontal="center" vertical="center" wrapText="1" readingOrder="1"/>
    </xf>
    <xf numFmtId="9" fontId="8" fillId="0" borderId="8" xfId="2" applyFont="1" applyBorder="1" applyAlignment="1">
      <alignment horizontal="center" vertical="center" wrapText="1" readingOrder="1"/>
    </xf>
    <xf numFmtId="9" fontId="0" fillId="0" borderId="0" xfId="2" applyFont="1"/>
    <xf numFmtId="0" fontId="7" fillId="6" borderId="6" xfId="0" applyFont="1" applyFill="1" applyBorder="1" applyAlignment="1">
      <alignment horizontal="center" vertical="center" wrapText="1" readingOrder="1"/>
    </xf>
    <xf numFmtId="3" fontId="8" fillId="6" borderId="8" xfId="0" applyNumberFormat="1" applyFont="1" applyFill="1" applyBorder="1" applyAlignment="1">
      <alignment horizontal="center" vertical="top" wrapText="1" readingOrder="1"/>
    </xf>
    <xf numFmtId="3" fontId="0" fillId="6" borderId="0" xfId="0" applyNumberFormat="1" applyFill="1"/>
    <xf numFmtId="0" fontId="0" fillId="6" borderId="0" xfId="0" applyFill="1"/>
    <xf numFmtId="3" fontId="6" fillId="4" borderId="10" xfId="0" applyNumberFormat="1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0" fillId="0" borderId="7" xfId="0" applyFont="1" applyBorder="1" applyAlignment="1">
      <alignment horizontal="left" vertical="center" wrapText="1" readingOrder="1"/>
    </xf>
    <xf numFmtId="0" fontId="10" fillId="0" borderId="11" xfId="0" applyFont="1" applyBorder="1" applyAlignment="1">
      <alignment horizontal="left" vertical="center" wrapText="1" readingOrder="1"/>
    </xf>
    <xf numFmtId="1" fontId="8" fillId="0" borderId="8" xfId="0" applyNumberFormat="1" applyFont="1" applyBorder="1" applyAlignment="1">
      <alignment horizontal="center" vertical="center" wrapText="1" readingOrder="1"/>
    </xf>
    <xf numFmtId="1" fontId="8" fillId="0" borderId="10" xfId="0" applyNumberFormat="1" applyFont="1" applyBorder="1" applyAlignment="1">
      <alignment horizontal="center" vertical="top" wrapText="1" readingOrder="1"/>
    </xf>
    <xf numFmtId="1" fontId="8" fillId="0" borderId="10" xfId="0" applyNumberFormat="1" applyFont="1" applyBorder="1" applyAlignment="1">
      <alignment horizontal="center" vertical="top" readingOrder="1"/>
    </xf>
    <xf numFmtId="3" fontId="11" fillId="0" borderId="12" xfId="4" applyNumberFormat="1" applyFont="1" applyFill="1" applyBorder="1" applyAlignment="1">
      <alignment horizontal="center" vertical="center" wrapText="1" readingOrder="1"/>
    </xf>
    <xf numFmtId="1" fontId="8" fillId="5" borderId="10" xfId="0" applyNumberFormat="1" applyFont="1" applyFill="1" applyBorder="1" applyAlignment="1">
      <alignment horizontal="center" vertical="top" readingOrder="1"/>
    </xf>
    <xf numFmtId="3" fontId="3" fillId="2" borderId="1" xfId="1" applyNumberFormat="1" applyFont="1" applyFill="1" applyBorder="1" applyAlignment="1">
      <alignment horizontal="center" vertical="center" wrapText="1" readingOrder="1"/>
    </xf>
    <xf numFmtId="0" fontId="12" fillId="4" borderId="8" xfId="0" applyFont="1" applyFill="1" applyBorder="1" applyAlignment="1">
      <alignment horizontal="left" vertical="center" wrapText="1" readingOrder="1"/>
    </xf>
    <xf numFmtId="0" fontId="12" fillId="4" borderId="8" xfId="0" applyFont="1" applyFill="1" applyBorder="1" applyAlignment="1">
      <alignment horizontal="left" vertical="center" readingOrder="1"/>
    </xf>
    <xf numFmtId="0" fontId="10" fillId="0" borderId="0" xfId="0" applyFont="1" applyAlignment="1">
      <alignment horizontal="center" vertical="center" readingOrder="1"/>
    </xf>
    <xf numFmtId="0" fontId="10" fillId="0" borderId="8" xfId="0" applyFont="1" applyBorder="1" applyAlignment="1">
      <alignment horizontal="center" vertical="center" readingOrder="1"/>
    </xf>
    <xf numFmtId="0" fontId="12" fillId="4" borderId="0" xfId="0" applyFont="1" applyFill="1" applyAlignment="1">
      <alignment horizontal="left" vertical="center" readingOrder="1"/>
    </xf>
    <xf numFmtId="0" fontId="8" fillId="0" borderId="7" xfId="0" applyFont="1" applyBorder="1" applyAlignment="1">
      <alignment horizontal="left" vertical="center" wrapText="1" indent="3" readingOrder="1"/>
    </xf>
    <xf numFmtId="0" fontId="8" fillId="0" borderId="7" xfId="0" applyFont="1" applyBorder="1" applyAlignment="1">
      <alignment horizontal="left" vertical="center" wrapText="1" indent="1" readingOrder="1"/>
    </xf>
    <xf numFmtId="0" fontId="8" fillId="0" borderId="7" xfId="0" applyFont="1" applyBorder="1" applyAlignment="1">
      <alignment horizontal="left" vertical="center" indent="3" readingOrder="1"/>
    </xf>
    <xf numFmtId="0" fontId="6" fillId="4" borderId="7" xfId="0" applyFont="1" applyFill="1" applyBorder="1" applyAlignment="1">
      <alignment horizontal="left" vertical="center" wrapText="1" indent="1" readingOrder="1"/>
    </xf>
    <xf numFmtId="9" fontId="8" fillId="0" borderId="7" xfId="2" applyFont="1" applyBorder="1" applyAlignment="1">
      <alignment horizontal="left" vertical="center" wrapText="1" indent="1" readingOrder="1"/>
    </xf>
    <xf numFmtId="0" fontId="6" fillId="4" borderId="7" xfId="0" applyFont="1" applyFill="1" applyBorder="1" applyAlignment="1">
      <alignment horizontal="left" vertical="center" indent="1" readingOrder="1"/>
    </xf>
    <xf numFmtId="0" fontId="8" fillId="6" borderId="7" xfId="0" applyFont="1" applyFill="1" applyBorder="1" applyAlignment="1">
      <alignment horizontal="left" vertical="center" wrapText="1" indent="1" readingOrder="1"/>
    </xf>
    <xf numFmtId="0" fontId="10" fillId="0" borderId="7" xfId="0" applyFont="1" applyBorder="1" applyAlignment="1">
      <alignment horizontal="left" vertical="center" wrapText="1" indent="1" readingOrder="1"/>
    </xf>
    <xf numFmtId="0" fontId="7" fillId="0" borderId="6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left" vertical="center" wrapText="1" indent="1" readingOrder="1"/>
    </xf>
    <xf numFmtId="3" fontId="8" fillId="0" borderId="8" xfId="0" applyNumberFormat="1" applyFont="1" applyFill="1" applyBorder="1" applyAlignment="1">
      <alignment horizontal="center" vertical="top" wrapText="1" readingOrder="1"/>
    </xf>
    <xf numFmtId="3" fontId="0" fillId="0" borderId="0" xfId="0" applyNumberFormat="1" applyFill="1"/>
    <xf numFmtId="0" fontId="0" fillId="0" borderId="0" xfId="0" applyFill="1"/>
  </cellXfs>
  <cellStyles count="5">
    <cellStyle name="Обычный" xfId="0" builtinId="0"/>
    <cellStyle name="Обычный 3 3" xfId="3" xr:uid="{DBCC06C8-EEEA-4EF3-9519-5EEDCAE66635}"/>
    <cellStyle name="Процентный" xfId="2" builtinId="5"/>
    <cellStyle name="Финансовый" xfId="1" builtinId="3"/>
    <cellStyle name="Финансовый 2 2" xfId="4" xr:uid="{E20CFDC5-3D51-4A88-8CEA-78D409E799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E48B-876B-4473-B3A6-DF4852A171EF}">
  <sheetPr>
    <tabColor rgb="FF008C95"/>
    <outlinePr summaryBelow="0" summaryRight="0"/>
  </sheetPr>
  <dimension ref="A1:AT54"/>
  <sheetViews>
    <sheetView tabSelected="1" topLeftCell="A4" zoomScale="85" zoomScaleNormal="85" workbookViewId="0">
      <selection activeCell="A10" sqref="A10:XFD11"/>
    </sheetView>
  </sheetViews>
  <sheetFormatPr defaultRowHeight="14.25" outlineLevelRow="1" outlineLevelCol="2"/>
  <cols>
    <col min="1" max="1" width="5.25" customWidth="1"/>
    <col min="2" max="2" width="38.875" customWidth="1"/>
    <col min="3" max="3" width="10.25" customWidth="1"/>
    <col min="4" max="5" width="11.5" customWidth="1" outlineLevel="1"/>
    <col min="6" max="6" width="11.5" customWidth="1"/>
    <col min="7" max="8" width="11.5" customWidth="1" outlineLevel="1"/>
    <col min="9" max="9" width="11.5" customWidth="1"/>
    <col min="10" max="10" width="13.125" customWidth="1" outlineLevel="1"/>
    <col min="11" max="12" width="13.625" customWidth="1" outlineLevel="1"/>
    <col min="13" max="13" width="10.625" customWidth="1"/>
    <col min="14" max="15" width="11.5" customWidth="1"/>
    <col min="16" max="17" width="11.5" customWidth="1" outlineLevel="1"/>
    <col min="18" max="18" width="15.25" customWidth="1"/>
    <col min="19" max="19" width="4.75" customWidth="1"/>
    <col min="20" max="20" width="11.5" customWidth="1"/>
    <col min="21" max="21" width="11.25" customWidth="1" outlineLevel="1"/>
    <col min="22" max="23" width="11.5" customWidth="1" outlineLevel="1"/>
    <col min="24" max="25" width="11.5" customWidth="1" outlineLevel="2"/>
    <col min="26" max="26" width="11.5" customWidth="1" outlineLevel="1"/>
    <col min="27" max="29" width="11.5" customWidth="1" outlineLevel="2"/>
    <col min="30" max="31" width="11.5" customWidth="1" outlineLevel="1"/>
    <col min="32" max="33" width="11.5" customWidth="1" outlineLevel="2"/>
    <col min="34" max="34" width="16.375" customWidth="1" outlineLevel="1"/>
    <col min="35" max="35" width="13.625" customWidth="1" outlineLevel="1"/>
    <col min="36" max="38" width="11.5" customWidth="1" outlineLevel="1"/>
    <col min="39" max="39" width="14.75" customWidth="1" outlineLevel="1"/>
    <col min="40" max="41" width="11.5" customWidth="1" outlineLevel="1"/>
    <col min="42" max="43" width="12.375" customWidth="1" outlineLevel="1"/>
    <col min="44" max="44" width="29" customWidth="1"/>
    <col min="45" max="45" width="8" bestFit="1" customWidth="1"/>
    <col min="46" max="46" width="10.875" customWidth="1"/>
  </cols>
  <sheetData>
    <row r="1" spans="1:46" ht="53.25" customHeight="1">
      <c r="A1" s="1" t="s">
        <v>0</v>
      </c>
      <c r="B1" s="2" t="s">
        <v>1</v>
      </c>
      <c r="C1" s="1" t="s">
        <v>2</v>
      </c>
      <c r="D1" s="1" t="s">
        <v>2</v>
      </c>
      <c r="E1" s="1" t="s">
        <v>2</v>
      </c>
      <c r="F1" s="3" t="s">
        <v>3</v>
      </c>
      <c r="G1" s="3" t="s">
        <v>3</v>
      </c>
      <c r="H1" s="3" t="s">
        <v>3</v>
      </c>
      <c r="I1" s="1" t="s">
        <v>4</v>
      </c>
      <c r="J1" s="1" t="s">
        <v>4</v>
      </c>
      <c r="K1" s="1" t="s">
        <v>4</v>
      </c>
      <c r="L1" s="1" t="s">
        <v>4</v>
      </c>
      <c r="M1" s="1" t="s">
        <v>5</v>
      </c>
      <c r="N1" s="1" t="s">
        <v>6</v>
      </c>
      <c r="O1" s="1" t="s">
        <v>7</v>
      </c>
      <c r="P1" s="1" t="s">
        <v>7</v>
      </c>
      <c r="Q1" s="1" t="s">
        <v>7</v>
      </c>
      <c r="R1" s="3" t="s">
        <v>8</v>
      </c>
      <c r="T1" s="3" t="s">
        <v>9</v>
      </c>
      <c r="U1" s="3" t="s">
        <v>173</v>
      </c>
      <c r="V1" s="1" t="s">
        <v>174</v>
      </c>
      <c r="W1" s="4" t="s">
        <v>10</v>
      </c>
      <c r="X1" s="1" t="s">
        <v>10</v>
      </c>
      <c r="Y1" s="1" t="s">
        <v>10</v>
      </c>
      <c r="Z1" s="4" t="s">
        <v>13</v>
      </c>
      <c r="AA1" s="1" t="s">
        <v>11</v>
      </c>
      <c r="AB1" s="1" t="s">
        <v>12</v>
      </c>
      <c r="AC1" s="1" t="s">
        <v>13</v>
      </c>
      <c r="AD1" s="1" t="s">
        <v>14</v>
      </c>
      <c r="AE1" s="3" t="s">
        <v>15</v>
      </c>
      <c r="AF1" s="3" t="s">
        <v>15</v>
      </c>
      <c r="AG1" s="3" t="s">
        <v>15</v>
      </c>
      <c r="AH1" s="1" t="s">
        <v>16</v>
      </c>
      <c r="AI1" s="1" t="s">
        <v>17</v>
      </c>
      <c r="AJ1" s="1" t="s">
        <v>18</v>
      </c>
      <c r="AK1" s="1" t="s">
        <v>18</v>
      </c>
      <c r="AL1" s="1" t="s">
        <v>19</v>
      </c>
      <c r="AM1" s="1" t="s">
        <v>20</v>
      </c>
      <c r="AN1" s="1" t="s">
        <v>21</v>
      </c>
      <c r="AO1" s="1" t="s">
        <v>22</v>
      </c>
      <c r="AP1" s="1" t="s">
        <v>23</v>
      </c>
      <c r="AQ1" s="1" t="s">
        <v>24</v>
      </c>
      <c r="AR1" s="5" t="s">
        <v>25</v>
      </c>
      <c r="AS1" s="6" t="s">
        <v>26</v>
      </c>
      <c r="AT1" s="7">
        <f>'Преза НЗП без НДС'!AO1</f>
        <v>46280</v>
      </c>
    </row>
    <row r="2" spans="1:46" ht="13.5" customHeight="1">
      <c r="A2" s="8"/>
      <c r="B2" s="2" t="s">
        <v>27</v>
      </c>
      <c r="C2" s="3"/>
      <c r="D2" s="1" t="s">
        <v>175</v>
      </c>
      <c r="E2" s="1" t="s">
        <v>176</v>
      </c>
      <c r="F2" s="3"/>
      <c r="G2" s="3" t="s">
        <v>177</v>
      </c>
      <c r="H2" s="3" t="s">
        <v>178</v>
      </c>
      <c r="I2" s="3"/>
      <c r="J2" s="1" t="s">
        <v>179</v>
      </c>
      <c r="K2" s="1" t="s">
        <v>180</v>
      </c>
      <c r="L2" s="1" t="s">
        <v>181</v>
      </c>
      <c r="M2" s="2" t="s">
        <v>182</v>
      </c>
      <c r="N2" s="2" t="s">
        <v>183</v>
      </c>
      <c r="O2" s="2"/>
      <c r="P2" s="2" t="s">
        <v>184</v>
      </c>
      <c r="Q2" s="2" t="s">
        <v>185</v>
      </c>
      <c r="R2" s="3" t="s">
        <v>186</v>
      </c>
      <c r="T2" s="3"/>
      <c r="U2" s="3" t="s">
        <v>187</v>
      </c>
      <c r="V2" s="1" t="s">
        <v>188</v>
      </c>
      <c r="W2" s="1"/>
      <c r="X2" s="1" t="s">
        <v>189</v>
      </c>
      <c r="Y2" s="1" t="s">
        <v>190</v>
      </c>
      <c r="Z2" s="1"/>
      <c r="AA2" s="1" t="s">
        <v>191</v>
      </c>
      <c r="AB2" s="1" t="s">
        <v>28</v>
      </c>
      <c r="AC2" s="1" t="s">
        <v>192</v>
      </c>
      <c r="AD2" s="2" t="s">
        <v>193</v>
      </c>
      <c r="AE2" s="9"/>
      <c r="AF2" s="9" t="s">
        <v>194</v>
      </c>
      <c r="AG2" s="9" t="s">
        <v>195</v>
      </c>
      <c r="AH2" s="2" t="s">
        <v>196</v>
      </c>
      <c r="AI2" s="1" t="s">
        <v>197</v>
      </c>
      <c r="AJ2" s="2" t="s">
        <v>198</v>
      </c>
      <c r="AK2" s="2" t="s">
        <v>199</v>
      </c>
      <c r="AL2" s="2" t="s">
        <v>200</v>
      </c>
      <c r="AM2" s="2" t="s">
        <v>201</v>
      </c>
      <c r="AN2" s="2" t="s">
        <v>202</v>
      </c>
      <c r="AO2" s="2" t="s">
        <v>203</v>
      </c>
      <c r="AP2" s="1" t="s">
        <v>204</v>
      </c>
      <c r="AQ2" s="1" t="s">
        <v>205</v>
      </c>
      <c r="AR2" s="5"/>
    </row>
    <row r="3" spans="1:46" ht="48">
      <c r="A3" s="8"/>
      <c r="B3" s="2" t="s">
        <v>29</v>
      </c>
      <c r="C3" s="3" t="s">
        <v>30</v>
      </c>
      <c r="D3" s="1" t="s">
        <v>31</v>
      </c>
      <c r="E3" s="1" t="s">
        <v>32</v>
      </c>
      <c r="F3" s="3" t="s">
        <v>30</v>
      </c>
      <c r="G3" s="1" t="s">
        <v>33</v>
      </c>
      <c r="H3" s="1" t="s">
        <v>34</v>
      </c>
      <c r="I3" s="1" t="s">
        <v>35</v>
      </c>
      <c r="J3" s="1" t="s">
        <v>36</v>
      </c>
      <c r="K3" s="1" t="s">
        <v>37</v>
      </c>
      <c r="L3" s="1" t="s">
        <v>38</v>
      </c>
      <c r="M3" s="2" t="s">
        <v>39</v>
      </c>
      <c r="N3" s="2" t="s">
        <v>40</v>
      </c>
      <c r="O3" s="2" t="s">
        <v>41</v>
      </c>
      <c r="P3" s="2" t="s">
        <v>42</v>
      </c>
      <c r="Q3" s="2" t="s">
        <v>43</v>
      </c>
      <c r="R3" s="1" t="s">
        <v>44</v>
      </c>
      <c r="T3" s="1"/>
      <c r="U3" s="1" t="s">
        <v>45</v>
      </c>
      <c r="V3" s="1" t="s">
        <v>45</v>
      </c>
      <c r="W3" s="1"/>
      <c r="X3" s="1" t="s">
        <v>45</v>
      </c>
      <c r="Y3" s="1" t="s">
        <v>46</v>
      </c>
      <c r="Z3" s="1"/>
      <c r="AA3" s="1" t="s">
        <v>47</v>
      </c>
      <c r="AB3" s="1" t="s">
        <v>48</v>
      </c>
      <c r="AC3" s="1" t="s">
        <v>46</v>
      </c>
      <c r="AD3" s="2"/>
      <c r="AE3" s="2"/>
      <c r="AF3" s="1" t="s">
        <v>45</v>
      </c>
      <c r="AG3" s="1" t="s">
        <v>46</v>
      </c>
      <c r="AH3" s="2"/>
      <c r="AI3" s="1" t="s">
        <v>49</v>
      </c>
      <c r="AJ3" s="2"/>
      <c r="AK3" s="2"/>
      <c r="AL3" s="2"/>
      <c r="AM3" s="2"/>
      <c r="AN3" s="2"/>
      <c r="AO3" s="2"/>
      <c r="AP3" s="1" t="s">
        <v>50</v>
      </c>
      <c r="AQ3" s="1" t="s">
        <v>51</v>
      </c>
      <c r="AR3" s="5"/>
    </row>
    <row r="4" spans="1:46">
      <c r="A4" s="8"/>
      <c r="B4" s="2" t="s">
        <v>52</v>
      </c>
      <c r="C4" s="3"/>
      <c r="D4" s="1">
        <v>89.79</v>
      </c>
      <c r="E4" s="1">
        <v>80</v>
      </c>
      <c r="F4" s="1"/>
      <c r="G4" s="1">
        <v>91.5</v>
      </c>
      <c r="H4" s="1">
        <v>80</v>
      </c>
      <c r="I4" s="1"/>
      <c r="J4" s="1">
        <v>80</v>
      </c>
      <c r="K4" s="1">
        <v>80</v>
      </c>
      <c r="L4" s="1">
        <v>85</v>
      </c>
      <c r="M4" s="2">
        <v>1</v>
      </c>
      <c r="N4" s="3">
        <v>1</v>
      </c>
      <c r="O4" s="9"/>
      <c r="P4" s="2">
        <v>1</v>
      </c>
      <c r="Q4" s="2">
        <v>1</v>
      </c>
      <c r="R4" s="9"/>
      <c r="T4" s="9"/>
      <c r="U4" s="3">
        <v>1</v>
      </c>
      <c r="V4" s="3">
        <v>1</v>
      </c>
      <c r="W4" s="1"/>
      <c r="X4" s="3">
        <v>1</v>
      </c>
      <c r="Y4" s="3">
        <v>1</v>
      </c>
      <c r="Z4" s="1"/>
      <c r="AA4" s="3">
        <v>1</v>
      </c>
      <c r="AB4" s="3">
        <v>1</v>
      </c>
      <c r="AC4" s="3">
        <v>1</v>
      </c>
      <c r="AD4" s="3">
        <v>1</v>
      </c>
      <c r="AE4" s="9"/>
      <c r="AF4" s="3">
        <v>1</v>
      </c>
      <c r="AG4" s="3">
        <v>1</v>
      </c>
      <c r="AH4" s="3">
        <v>1</v>
      </c>
      <c r="AI4" s="1">
        <v>80</v>
      </c>
      <c r="AJ4" s="3">
        <v>1</v>
      </c>
      <c r="AK4" s="3">
        <v>1</v>
      </c>
      <c r="AL4" s="3">
        <v>1</v>
      </c>
      <c r="AM4" s="3">
        <v>1</v>
      </c>
      <c r="AN4" s="3">
        <v>1</v>
      </c>
      <c r="AO4" s="3">
        <v>1</v>
      </c>
      <c r="AP4" s="1">
        <v>1</v>
      </c>
      <c r="AQ4" s="1">
        <v>1</v>
      </c>
      <c r="AR4" s="5"/>
    </row>
    <row r="5" spans="1:46" hidden="1">
      <c r="A5" s="10" t="s">
        <v>53</v>
      </c>
      <c r="B5" s="11" t="s">
        <v>54</v>
      </c>
      <c r="C5" s="12">
        <f>D5+E5</f>
        <v>23643.905091551602</v>
      </c>
      <c r="D5" s="12">
        <v>7005.2222163516008</v>
      </c>
      <c r="E5" s="12">
        <v>16638.6828752</v>
      </c>
      <c r="F5" s="12">
        <f>G5+H5</f>
        <v>18723.239725334999</v>
      </c>
      <c r="G5" s="12">
        <v>8538.246618135001</v>
      </c>
      <c r="H5" s="12">
        <v>10184.9931072</v>
      </c>
      <c r="I5" s="12">
        <f>J5+K5+L5</f>
        <v>9183.991806850001</v>
      </c>
      <c r="J5" s="12">
        <v>7362.3109416000007</v>
      </c>
      <c r="K5" s="12">
        <v>100.929624</v>
      </c>
      <c r="L5" s="12">
        <v>1720.75124125</v>
      </c>
      <c r="M5" s="12">
        <v>11079.09558469</v>
      </c>
      <c r="N5" s="12">
        <v>3212.3522922100001</v>
      </c>
      <c r="O5" s="12">
        <f>P5+Q5</f>
        <v>3637.0038205999999</v>
      </c>
      <c r="P5" s="12">
        <v>47.107459110000001</v>
      </c>
      <c r="Q5" s="12">
        <v>3589.8963614899999</v>
      </c>
      <c r="R5" s="12">
        <v>3564.4619313799999</v>
      </c>
      <c r="S5" s="13"/>
      <c r="T5" s="12">
        <f>U5+V5+W5+Z5+AD5+AE5+AH5+AI5+AJ5+AK5+AL5+AM5+AN5+AO5+AQ5</f>
        <v>7507.4812208700014</v>
      </c>
      <c r="U5" s="12">
        <v>987.58487257000002</v>
      </c>
      <c r="V5" s="12">
        <v>480.19318385000003</v>
      </c>
      <c r="W5" s="12">
        <f>X5+Y5</f>
        <v>956.16997216000004</v>
      </c>
      <c r="X5" s="12">
        <v>357.37750804000001</v>
      </c>
      <c r="Y5" s="12">
        <v>598.79246411999998</v>
      </c>
      <c r="Z5" s="12">
        <f>SUM(AA5:AC5)</f>
        <v>475.86051010999995</v>
      </c>
      <c r="AA5" s="12">
        <v>71.635275969999995</v>
      </c>
      <c r="AB5" s="12">
        <v>131.05556819</v>
      </c>
      <c r="AC5" s="12">
        <v>273.16966594999997</v>
      </c>
      <c r="AD5" s="12">
        <v>687.96020991000012</v>
      </c>
      <c r="AE5" s="12">
        <f>AF5+AG5</f>
        <v>639.72508703000005</v>
      </c>
      <c r="AF5" s="12">
        <v>599.85461195000005</v>
      </c>
      <c r="AG5" s="12">
        <v>39.870475079999999</v>
      </c>
      <c r="AH5" s="12">
        <v>384.72912429999997</v>
      </c>
      <c r="AI5" s="12">
        <v>85.160542400000011</v>
      </c>
      <c r="AJ5" s="12">
        <v>121.03399924999999</v>
      </c>
      <c r="AK5" s="12">
        <v>41.626364189999997</v>
      </c>
      <c r="AL5" s="12">
        <v>49.199583820000001</v>
      </c>
      <c r="AM5" s="12">
        <v>19.942107289999999</v>
      </c>
      <c r="AN5" s="12">
        <v>26.397624280000002</v>
      </c>
      <c r="AO5" s="12">
        <v>280.74915070999998</v>
      </c>
      <c r="AP5" s="12">
        <v>203.31445474</v>
      </c>
      <c r="AQ5" s="12">
        <v>2271.1488890000001</v>
      </c>
    </row>
    <row r="6" spans="1:46">
      <c r="A6" s="10" t="s">
        <v>55</v>
      </c>
      <c r="B6" s="11" t="s">
        <v>56</v>
      </c>
      <c r="C6" s="12">
        <f>D6+E6</f>
        <v>20960.906486885055</v>
      </c>
      <c r="D6" s="12">
        <f>HLOOKUP(D2,'Преза НЗП без НДС'!$E$2:$AL$5,4,0)*1.22</f>
        <v>7571.5154118901864</v>
      </c>
      <c r="E6" s="12">
        <f>HLOOKUP(E2,'Преза НЗП без НДС'!$E$2:$AL$5,4,0)*1.22</f>
        <v>13389.39107499487</v>
      </c>
      <c r="F6" s="12">
        <f>G6+H6</f>
        <v>18790.588751336301</v>
      </c>
      <c r="G6" s="12">
        <f>HLOOKUP(G2,'Преза НЗП без НДС'!$E$2:$AL$5,4,0)*1.22</f>
        <v>8558.327154736975</v>
      </c>
      <c r="H6" s="12">
        <f>HLOOKUP(H2,'Преза НЗП без НДС'!$E$2:$AL$5,4,0)*1.22</f>
        <v>10232.261596599326</v>
      </c>
      <c r="I6" s="12">
        <f>J6+K6+L6</f>
        <v>10000.804628359621</v>
      </c>
      <c r="J6" s="12">
        <f>HLOOKUP(J2,'Преза НЗП без НДС'!$E$2:$AL$5,4,0)*1.22</f>
        <v>7561.6005297577512</v>
      </c>
      <c r="K6" s="12">
        <f>HLOOKUP(K2,'Преза НЗП без НДС'!$E$2:$AL$5,4,0)*1.22</f>
        <v>123.13414128000001</v>
      </c>
      <c r="L6" s="12">
        <f>HLOOKUP(L2,'Преза НЗП без НДС'!$E$2:$AL$5,4,0)*1.22</f>
        <v>2316.0699573218699</v>
      </c>
      <c r="M6" s="12">
        <f>HLOOKUP(M2,'Преза НЗП без НДС'!$E$2:$AL$5,4,0)*1.22</f>
        <v>11115.315650219783</v>
      </c>
      <c r="N6" s="12">
        <f>HLOOKUP(N2,'Преза НЗП без НДС'!$E$2:$AL$5,4,0)*1.22</f>
        <v>5546.8811360578711</v>
      </c>
      <c r="O6" s="12">
        <f>P6+Q6</f>
        <v>3723.3917113598982</v>
      </c>
      <c r="P6" s="12">
        <f>IFERROR(HLOOKUP(P2,'Преза НЗП без НДС'!$E$2:$AL$5,4,0)*1.22,P5)</f>
        <v>47.107459110000001</v>
      </c>
      <c r="Q6" s="12">
        <f>HLOOKUP(Q2,'Преза НЗП без НДС'!$E$2:$AL$5,4,0)*1.22</f>
        <v>3676.2842522498981</v>
      </c>
      <c r="R6" s="12">
        <f>HLOOKUP(R2,'Преза НЗП без НДС'!$E$2:$AL$5,4,0)*1.22</f>
        <v>3564.4619319307994</v>
      </c>
      <c r="S6" s="13"/>
      <c r="T6" s="12">
        <f>U6+V6+W6+Z6+AD6+AE6+AH6+AI6+AJ6+AK6+AL6+AM6+AN6+AO6+AQ6</f>
        <v>8341.1553872378299</v>
      </c>
      <c r="U6" s="12">
        <f>HLOOKUP(U2,'Преза НЗП без НДС'!$E$2:$AL$5,4,0)*1.22</f>
        <v>1388.240496818142</v>
      </c>
      <c r="V6" s="12">
        <f>HLOOKUP(V2,'Преза НЗП без НДС'!$E$2:$AL$5,4,0)*1.22</f>
        <v>512.18369034</v>
      </c>
      <c r="W6" s="12">
        <f>X6+Y6</f>
        <v>1213.7647838050641</v>
      </c>
      <c r="X6" s="12">
        <f>HLOOKUP(X2,'Преза НЗП без НДС'!$E$2:$AL$5,4,0)*1.22</f>
        <v>606.88239190253205</v>
      </c>
      <c r="Y6" s="12">
        <f>HLOOKUP(Y2,'Преза НЗП без НДС'!$E$2:$AL$5,4,0)*1.22</f>
        <v>606.88239190253205</v>
      </c>
      <c r="Z6" s="12">
        <f>SUM(AA6:AC6)</f>
        <v>275.2322581892164</v>
      </c>
      <c r="AA6" s="12">
        <f>HLOOKUP(AA2,'Преза НЗП без НДС'!$E$2:$AL$5,4,0)*1.22</f>
        <v>71.635275976095897</v>
      </c>
      <c r="AB6" s="12">
        <f>HLOOKUP(AB2,'Преза НЗП без НДС'!$E$2:$AL$5,4,0)*1.22</f>
        <v>116.13756727587111</v>
      </c>
      <c r="AC6" s="12">
        <f>HLOOKUP(AC2,'Преза НЗП без НДС'!$E$2:$AL$5,4,0)*1.22</f>
        <v>87.459414937249392</v>
      </c>
      <c r="AD6" s="12">
        <f>HLOOKUP(AD2,'Преза НЗП без НДС'!$E$2:$AL$5,4,0)*1.22</f>
        <v>836.77456247019995</v>
      </c>
      <c r="AE6" s="12">
        <f>AF6+AG6</f>
        <v>768.2336890708001</v>
      </c>
      <c r="AF6" s="12">
        <f>HLOOKUP(AF2,'Преза НЗП без НДС'!$E$2:$AL$5,4,0)*1.22</f>
        <v>728.36321398920006</v>
      </c>
      <c r="AG6" s="12">
        <f>HLOOKUP(AG2,'Преза НЗП без НДС'!$E$2:$AL$5,4,0)*1.22</f>
        <v>39.870475081600006</v>
      </c>
      <c r="AH6" s="12">
        <f>HLOOKUP(AH2,'Преза НЗП без НДС'!$E$2:$AL$5,4,0)*1.22</f>
        <v>386.32870993999995</v>
      </c>
      <c r="AI6" s="12">
        <f>IFERROR(HLOOKUP(AI2,'Преза НЗП без НДС'!$E$2:$AL$5,4,0)*1.22,AI5)</f>
        <v>85.160542400000011</v>
      </c>
      <c r="AJ6" s="12">
        <f>HLOOKUP(AJ2,'Преза НЗП без НДС'!$E$2:$AL$5,4,0)*1.22</f>
        <v>175.86878489839989</v>
      </c>
      <c r="AK6" s="12">
        <f>HLOOKUP(AK2,'Преза НЗП без НДС'!$E$2:$AL$5,4,0)*1.22</f>
        <v>41.626364193000001</v>
      </c>
      <c r="AL6" s="12">
        <f>HLOOKUP(AL2,'Преза НЗП без НДС'!$E$2:$AL$5,4,0)*1.22</f>
        <v>49.562886654599993</v>
      </c>
      <c r="AM6" s="12">
        <f>IFERROR(HLOOKUP(AM2,'Преза НЗП без НДС'!$E$2:$AL$5,4,0)*1.22,AM5)</f>
        <v>19.942107289999999</v>
      </c>
      <c r="AN6" s="12">
        <f>HLOOKUP(AN2,'Преза НЗП без НДС'!$E$2:$AL$5,4,0)*1.22</f>
        <v>36.338471466999998</v>
      </c>
      <c r="AO6" s="12">
        <f>HLOOKUP(AO2,'Преза НЗП без НДС'!$E$2:$AL$5,4,0)*1.22</f>
        <v>280.74915070140742</v>
      </c>
      <c r="AP6" s="12">
        <f>HLOOKUP(AP2,'Преза НЗП без НДС'!$E$2:$AL$5,4,0)*1.22</f>
        <v>443.5845568770938</v>
      </c>
      <c r="AQ6" s="12">
        <f>IFERROR(HLOOKUP(AQ2,'Преза НЗП без НДС'!$E$2:$AL$5,4,0)*1.22,AQ5)</f>
        <v>2271.1488890000001</v>
      </c>
    </row>
    <row r="7" spans="1:46">
      <c r="A7" s="10">
        <v>2</v>
      </c>
      <c r="B7" s="11" t="s">
        <v>57</v>
      </c>
      <c r="C7" s="12">
        <f>D7+E7</f>
        <v>7151.5679404613447</v>
      </c>
      <c r="D7" s="12">
        <f>D8+D10</f>
        <v>5228.95316471345</v>
      </c>
      <c r="E7" s="12">
        <f>E8+E10</f>
        <v>1922.6147757478948</v>
      </c>
      <c r="F7" s="12">
        <f t="shared" ref="F7:F38" si="0">G7+H7</f>
        <v>7783.261515133021</v>
      </c>
      <c r="G7" s="12">
        <f>G8+G10</f>
        <v>6226.2028658065774</v>
      </c>
      <c r="H7" s="12">
        <f>H8+H10</f>
        <v>1557.0586493264441</v>
      </c>
      <c r="I7" s="12">
        <f t="shared" ref="I7:I38" si="1">J7+K7+L7</f>
        <v>3081.2625465647902</v>
      </c>
      <c r="J7" s="12">
        <f>J8+J10+J9</f>
        <v>2475.902372933137</v>
      </c>
      <c r="K7" s="12">
        <f t="shared" ref="K7:V7" si="2">K8+K10</f>
        <v>74.317510679999998</v>
      </c>
      <c r="L7" s="12">
        <f t="shared" si="2"/>
        <v>531.04266295165314</v>
      </c>
      <c r="M7" s="12">
        <f>M8+M10</f>
        <v>2767.0678588161659</v>
      </c>
      <c r="N7" s="12">
        <f>N8+N10</f>
        <v>1482.5105562073002</v>
      </c>
      <c r="O7" s="12">
        <f t="shared" ref="O7:O38" si="3">P7+Q7</f>
        <v>715.23872376173563</v>
      </c>
      <c r="P7" s="12">
        <f t="shared" ref="P7:R7" si="4">P8+P10</f>
        <v>16.807454829999998</v>
      </c>
      <c r="Q7" s="12">
        <f t="shared" si="4"/>
        <v>698.43126893173564</v>
      </c>
      <c r="R7" s="12">
        <f t="shared" si="4"/>
        <v>100.56970411988746</v>
      </c>
      <c r="S7" s="13"/>
      <c r="T7" s="12">
        <f t="shared" ref="T7:T38" si="5">U7+V7+W7+Z7+AD7+AE7+AH7+AI7+AJ7+AK7+AL7+AM7+AN7+AO7+AQ7</f>
        <v>6025.1428920307881</v>
      </c>
      <c r="U7" s="12">
        <f t="shared" si="2"/>
        <v>939.4</v>
      </c>
      <c r="V7" s="12">
        <f t="shared" si="2"/>
        <v>410.00451835479998</v>
      </c>
      <c r="W7" s="12">
        <f t="shared" ref="W7:W38" si="6">X7+Y7</f>
        <v>1606.4199972500001</v>
      </c>
      <c r="X7" s="12">
        <f>X8+X10</f>
        <v>1163.46716199</v>
      </c>
      <c r="Y7" s="12">
        <f>Y8+Y10</f>
        <v>442.95283525999997</v>
      </c>
      <c r="Z7" s="12">
        <f t="shared" ref="Z7:Z38" si="7">SUM(AA7:AC7)</f>
        <v>262.28640494398928</v>
      </c>
      <c r="AA7" s="12">
        <f>AA8+AA10</f>
        <v>67.187521537869344</v>
      </c>
      <c r="AB7" s="12">
        <f>AB8+AB10</f>
        <v>107.81683470837996</v>
      </c>
      <c r="AC7" s="12">
        <f>AC8+AC10</f>
        <v>87.282048697740009</v>
      </c>
      <c r="AD7" s="12">
        <f t="shared" ref="AD7:AQ7" si="8">AD8+AD10</f>
        <v>830.81999999999994</v>
      </c>
      <c r="AE7" s="12">
        <f t="shared" ref="AE7:AE38" si="9">AF7+AG7</f>
        <v>731.71451196199985</v>
      </c>
      <c r="AF7" s="12">
        <f>AF8+AF10</f>
        <v>687.79817366999987</v>
      </c>
      <c r="AG7" s="12">
        <f>AG8+AG10</f>
        <v>43.916338292000006</v>
      </c>
      <c r="AH7" s="12">
        <f>AH8+AH10</f>
        <v>384.3</v>
      </c>
      <c r="AI7" s="12">
        <f>AI8+AI10</f>
        <v>9.7562931300000013</v>
      </c>
      <c r="AJ7" s="12">
        <f t="shared" si="8"/>
        <v>125.66</v>
      </c>
      <c r="AK7" s="12">
        <f t="shared" si="8"/>
        <v>56.191687070000015</v>
      </c>
      <c r="AL7" s="12">
        <f>AL8+AL10</f>
        <v>62.22</v>
      </c>
      <c r="AM7" s="12">
        <f>AM8+AM10</f>
        <v>19.900723500000002</v>
      </c>
      <c r="AN7" s="12">
        <f t="shared" si="8"/>
        <v>21.93005346</v>
      </c>
      <c r="AO7" s="12">
        <f t="shared" si="8"/>
        <v>12.143120600000001</v>
      </c>
      <c r="AP7" s="12">
        <f t="shared" si="8"/>
        <v>189.20867158000004</v>
      </c>
      <c r="AQ7" s="12">
        <f t="shared" si="8"/>
        <v>552.39558176000003</v>
      </c>
    </row>
    <row r="8" spans="1:46" outlineLevel="1">
      <c r="A8" s="14" t="s">
        <v>58</v>
      </c>
      <c r="B8" s="53" t="s">
        <v>59</v>
      </c>
      <c r="C8" s="16">
        <f t="shared" ref="C8:C38" si="10">D8+E8</f>
        <v>6390.6753857500007</v>
      </c>
      <c r="D8" s="16">
        <v>4797.8536455900003</v>
      </c>
      <c r="E8" s="16">
        <v>1592.82174016</v>
      </c>
      <c r="F8" s="16">
        <f t="shared" si="0"/>
        <v>6749.4102536700002</v>
      </c>
      <c r="G8" s="16">
        <v>5447.3129634300003</v>
      </c>
      <c r="H8" s="16">
        <v>1302.0972902400001</v>
      </c>
      <c r="I8" s="16">
        <f t="shared" si="1"/>
        <v>2461.6888215099998</v>
      </c>
      <c r="J8" s="16">
        <v>1936.3041860600001</v>
      </c>
      <c r="K8" s="16">
        <v>74.317510679999998</v>
      </c>
      <c r="L8" s="16">
        <v>451.06712476999996</v>
      </c>
      <c r="M8" s="16">
        <v>2118.6709716</v>
      </c>
      <c r="N8" s="16">
        <v>1304.85249957</v>
      </c>
      <c r="O8" s="16">
        <f t="shared" si="3"/>
        <v>544.09086485</v>
      </c>
      <c r="P8" s="16">
        <v>16.807454829999998</v>
      </c>
      <c r="Q8" s="16">
        <v>527.28341002000002</v>
      </c>
      <c r="R8" s="16">
        <v>24.028867290000001</v>
      </c>
      <c r="S8" s="13"/>
      <c r="T8" s="16">
        <f t="shared" si="5"/>
        <v>5856.5913327599992</v>
      </c>
      <c r="U8" s="16">
        <v>797.73984066999992</v>
      </c>
      <c r="V8" s="16">
        <v>404.61470555000005</v>
      </c>
      <c r="W8" s="16">
        <f t="shared" si="6"/>
        <v>1606.4199972500001</v>
      </c>
      <c r="X8" s="16">
        <v>1163.46716199</v>
      </c>
      <c r="Y8" s="16">
        <v>442.95283525999997</v>
      </c>
      <c r="Z8" s="16">
        <f t="shared" si="7"/>
        <v>257.88061456999998</v>
      </c>
      <c r="AA8" s="16">
        <v>66.638753059999999</v>
      </c>
      <c r="AB8" s="16">
        <v>105.39066131999999</v>
      </c>
      <c r="AC8" s="16">
        <v>85.85120019</v>
      </c>
      <c r="AD8" s="16">
        <v>817.89873624999996</v>
      </c>
      <c r="AE8" s="16">
        <f t="shared" si="9"/>
        <v>731.06089761999988</v>
      </c>
      <c r="AF8" s="16">
        <v>687.79817366999987</v>
      </c>
      <c r="AG8" s="16">
        <v>43.262723950000002</v>
      </c>
      <c r="AH8" s="16">
        <v>382.44269973999997</v>
      </c>
      <c r="AI8" s="16">
        <v>9.7562931300000013</v>
      </c>
      <c r="AJ8" s="16">
        <v>124.52961168</v>
      </c>
      <c r="AK8" s="16">
        <v>56.191687070000015</v>
      </c>
      <c r="AL8" s="16">
        <v>61.686769910000002</v>
      </c>
      <c r="AM8" s="16">
        <v>19.900723500000002</v>
      </c>
      <c r="AN8" s="16">
        <v>21.93005346</v>
      </c>
      <c r="AO8" s="16">
        <v>12.143120600000001</v>
      </c>
      <c r="AP8" s="16">
        <v>189.20867158000004</v>
      </c>
      <c r="AQ8" s="16">
        <v>552.39558176000003</v>
      </c>
      <c r="AR8" s="17"/>
    </row>
    <row r="9" spans="1:46" outlineLevel="1">
      <c r="A9" s="14" t="s">
        <v>60</v>
      </c>
      <c r="B9" s="53" t="s">
        <v>61</v>
      </c>
      <c r="C9" s="16"/>
      <c r="D9" s="16">
        <f>-+(D8-D13-D20+D33)-'Баланс ФЭК (валюта) с НДС'!E25*'Баланс ФЭК (валюта) с НДС'!E4</f>
        <v>-5.2289945351446931E-7</v>
      </c>
      <c r="E9" s="16">
        <f>-+(E8-E13-E20+E33)-'Баланс ФЭК (валюта) с НДС'!F25*'Баланс ФЭК (валюта) с НДС'!F4</f>
        <v>-4.9634261499998509</v>
      </c>
      <c r="F9" s="16"/>
      <c r="G9" s="16">
        <f>-+(G8-G13-G20+G33)-'Баланс ФЭК (валюта) с НДС'!G25*'Баланс ФЭК (валюта) с НДС'!G4</f>
        <v>-1.563940014648324E-5</v>
      </c>
      <c r="H9" s="16">
        <f>-+(H8-H13-H20+H33)-'Баланс ФЭК (валюта) с НДС'!H25*'Баланс ФЭК (валюта) с НДС'!H4</f>
        <v>-16.194226610000385</v>
      </c>
      <c r="I9" s="16">
        <f t="shared" si="1"/>
        <v>6.0184066199992827</v>
      </c>
      <c r="J9" s="16">
        <f>-+(J8-J13-J20+J33)-'Баланс ФЭК (валюта) с НДС'!I25*'Баланс ФЭК (валюта) с НДС'!I4</f>
        <v>0.85709686999924628</v>
      </c>
      <c r="K9" s="16">
        <f>-+(K8-K13-K20+K33)-'Баланс ФЭК (валюта) с НДС'!J25*'Баланс ФЭК (валюта) с НДС'!J4</f>
        <v>2.808864252301646E-14</v>
      </c>
      <c r="L9" s="16">
        <f>-+(L8-L13-L20+L33)-'Баланс ФЭК (валюта) с НДС'!K25*'Баланс ФЭК (валюта) с НДС'!K4</f>
        <v>5.161309750000008</v>
      </c>
      <c r="M9" s="16"/>
      <c r="N9" s="16"/>
      <c r="O9" s="16"/>
      <c r="P9" s="16"/>
      <c r="Q9" s="16"/>
      <c r="R9" s="16"/>
      <c r="S9" s="13"/>
      <c r="T9" s="16">
        <f t="shared" si="5"/>
        <v>0</v>
      </c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8"/>
    </row>
    <row r="10" spans="1:46" s="64" customFormat="1" outlineLevel="1">
      <c r="A10" s="60" t="s">
        <v>62</v>
      </c>
      <c r="B10" s="61" t="s">
        <v>63</v>
      </c>
      <c r="C10" s="62">
        <f t="shared" si="10"/>
        <v>760.89255471134447</v>
      </c>
      <c r="D10" s="62">
        <f>IF((D11-D8)&lt;0,,D11-D8)</f>
        <v>431.09951912344968</v>
      </c>
      <c r="E10" s="62">
        <f>IF((E11-E8)&lt;0,,E11-E8)</f>
        <v>329.79303558789479</v>
      </c>
      <c r="F10" s="62">
        <f t="shared" si="0"/>
        <v>1033.851261463021</v>
      </c>
      <c r="G10" s="62">
        <f>IF((G11-G8)&lt;0,,G11-G8)</f>
        <v>778.88990237657708</v>
      </c>
      <c r="H10" s="62">
        <f>IF((H11-H8)&lt;0,,H11-H8)</f>
        <v>254.96135908644396</v>
      </c>
      <c r="I10" s="62">
        <f t="shared" si="1"/>
        <v>618.71662818479092</v>
      </c>
      <c r="J10" s="62">
        <f>IF((J11-J8)&lt;0,,J11-J8)</f>
        <v>538.74109000313774</v>
      </c>
      <c r="K10" s="62">
        <f>IF((K11-K8)&lt;0,,K11-K8)</f>
        <v>0</v>
      </c>
      <c r="L10" s="62">
        <f>IF((L11-L8)&lt;0,,L11-L8)</f>
        <v>79.975538181653178</v>
      </c>
      <c r="M10" s="62">
        <f>IF((M11-M8)&lt;0,,M11-M8)</f>
        <v>648.39688721616585</v>
      </c>
      <c r="N10" s="62">
        <f>IF((N11-N8)&lt;0,,N11-N8)</f>
        <v>177.65805663730021</v>
      </c>
      <c r="O10" s="62">
        <f t="shared" si="3"/>
        <v>171.14785891173563</v>
      </c>
      <c r="P10" s="62">
        <f>IF((P11-P8)&lt;0,,P11-P8)</f>
        <v>0</v>
      </c>
      <c r="Q10" s="62">
        <f>IF((Q11-Q8)&lt;0,,Q11-Q8)</f>
        <v>171.14785891173563</v>
      </c>
      <c r="R10" s="62">
        <f>IF((R11-R8)&lt;0,,R11-R8)</f>
        <v>76.540836829887468</v>
      </c>
      <c r="S10" s="63"/>
      <c r="T10" s="62">
        <f t="shared" si="5"/>
        <v>168.55155927078928</v>
      </c>
      <c r="U10" s="62">
        <f>IF((U11-U8)&lt;0,,U11-U8)</f>
        <v>141.66015933000006</v>
      </c>
      <c r="V10" s="62">
        <f>IF((V11-V8)&lt;0,,V11-V8)</f>
        <v>5.3898128047999307</v>
      </c>
      <c r="W10" s="62">
        <f t="shared" si="6"/>
        <v>0</v>
      </c>
      <c r="X10" s="62">
        <f>IF((X11-X8)&lt;0,,X11-X8)</f>
        <v>0</v>
      </c>
      <c r="Y10" s="62">
        <f>IF((Y11-Y8)&lt;0,,Y11-Y8)</f>
        <v>0</v>
      </c>
      <c r="Z10" s="62">
        <f t="shared" si="7"/>
        <v>4.4057903739893192</v>
      </c>
      <c r="AA10" s="62">
        <f>IF((AA11-AA8)&lt;0,,AA11-AA8)</f>
        <v>0.54876847786934491</v>
      </c>
      <c r="AB10" s="62">
        <f>IF((AB11-AB8)&lt;0,,AB11-AB8)</f>
        <v>2.426173388379965</v>
      </c>
      <c r="AC10" s="62">
        <f>IF((AC11-AC8)&lt;0,,AC11-AC8)</f>
        <v>1.4308485077400093</v>
      </c>
      <c r="AD10" s="62">
        <f>IF((AD11-AD8)&lt;0,,AD11-AD8)</f>
        <v>12.92126374999998</v>
      </c>
      <c r="AE10" s="62">
        <f t="shared" si="9"/>
        <v>0.65361434200000446</v>
      </c>
      <c r="AF10" s="62">
        <f t="shared" ref="AF10:AQ10" si="11">IF((AF11-AF8)&lt;0,,AF11-AF8)</f>
        <v>0</v>
      </c>
      <c r="AG10" s="62">
        <f t="shared" si="11"/>
        <v>0.65361434200000446</v>
      </c>
      <c r="AH10" s="62">
        <f t="shared" si="11"/>
        <v>1.857300260000045</v>
      </c>
      <c r="AI10" s="62">
        <f t="shared" si="11"/>
        <v>0</v>
      </c>
      <c r="AJ10" s="62">
        <f t="shared" si="11"/>
        <v>1.1303883199999945</v>
      </c>
      <c r="AK10" s="62">
        <f t="shared" si="11"/>
        <v>0</v>
      </c>
      <c r="AL10" s="62">
        <f t="shared" si="11"/>
        <v>0.53323008999999644</v>
      </c>
      <c r="AM10" s="62">
        <f t="shared" si="11"/>
        <v>0</v>
      </c>
      <c r="AN10" s="62">
        <f t="shared" si="11"/>
        <v>0</v>
      </c>
      <c r="AO10" s="62">
        <f t="shared" si="11"/>
        <v>0</v>
      </c>
      <c r="AP10" s="62">
        <f t="shared" si="11"/>
        <v>0</v>
      </c>
      <c r="AQ10" s="62">
        <f t="shared" si="11"/>
        <v>0</v>
      </c>
    </row>
    <row r="11" spans="1:46" s="64" customFormat="1" outlineLevel="1">
      <c r="A11" s="60"/>
      <c r="B11" s="61" t="s">
        <v>64</v>
      </c>
      <c r="C11" s="62"/>
      <c r="D11" s="62">
        <f>IFERROR(HLOOKUP(D2,'Преза НЗП без НДС'!$E$2:$AL$6,5,0)*1.22,D8)</f>
        <v>5228.95316471345</v>
      </c>
      <c r="E11" s="62">
        <f>IFERROR(HLOOKUP(E2,'Преза НЗП без НДС'!$E$2:$AL$6,5,0)*1.22,E8)</f>
        <v>1922.6147757478948</v>
      </c>
      <c r="F11" s="62"/>
      <c r="G11" s="62">
        <f>IFERROR(HLOOKUP(G2,'Преза НЗП без НДС'!$E$2:$AL$6,5,0)*1.22,G8)</f>
        <v>6226.2028658065774</v>
      </c>
      <c r="H11" s="62">
        <f>IFERROR(HLOOKUP(H2,'Преза НЗП без НДС'!$E$2:$AL$6,5,0)*1.22,H8)</f>
        <v>1557.0586493264441</v>
      </c>
      <c r="I11" s="62"/>
      <c r="J11" s="62">
        <f>IFERROR(HLOOKUP(J2,'Преза НЗП без НДС'!$E$2:$AL$6,5,0)*1.22,J8)</f>
        <v>2475.0452760631379</v>
      </c>
      <c r="K11" s="62">
        <f>IFERROR(HLOOKUP(K2,'Преза НЗП без НДС'!$E$2:$AL$6,5,0)*1.22,K8)</f>
        <v>71.524037297600003</v>
      </c>
      <c r="L11" s="62">
        <f>IFERROR(HLOOKUP(L2,'Преза НЗП без НДС'!$E$2:$AL$6,5,0)*1.22,L8)</f>
        <v>531.04266295165314</v>
      </c>
      <c r="M11" s="62">
        <f>IFERROR(HLOOKUP(M2,'Преза НЗП без НДС'!$E$2:$AL$6,5,0)*1.22,M8)</f>
        <v>2767.0678588161659</v>
      </c>
      <c r="N11" s="62">
        <f>IFERROR(HLOOKUP(N2,'Преза НЗП без НДС'!$E$2:$AL$6,5,0)*1.22,N8)</f>
        <v>1482.5105562073002</v>
      </c>
      <c r="O11" s="62"/>
      <c r="P11" s="62">
        <f>IFERROR(HLOOKUP(P2,'Преза НЗП без НДС'!$E$2:$AL$6,5,0)*1.22,P8)</f>
        <v>16.807454829999998</v>
      </c>
      <c r="Q11" s="62">
        <f>IFERROR(HLOOKUP(Q2,'Преза НЗП без НДС'!$E$2:$AL$6,5,0)*1.22,Q8)</f>
        <v>698.43126893173564</v>
      </c>
      <c r="R11" s="62">
        <f>IFERROR(HLOOKUP(R2,'Преза НЗП без НДС'!$E$2:$AL$6,5,0)*1.22,R8)</f>
        <v>100.56970411988748</v>
      </c>
      <c r="S11" s="63"/>
      <c r="T11" s="62"/>
      <c r="U11" s="62">
        <f>IFERROR(HLOOKUP(U2,'Преза НЗП без НДС'!$E$2:$AL$6,5,0)*1.22,U8)</f>
        <v>939.4</v>
      </c>
      <c r="V11" s="62">
        <f>IFERROR(HLOOKUP(V2,'Преза НЗП без НДС'!$E$2:$AL$6,5,0)*1.22,V8)</f>
        <v>410.00451835479998</v>
      </c>
      <c r="W11" s="62"/>
      <c r="X11" s="62">
        <f>IFERROR(HLOOKUP(X2,'Преза НЗП без НДС'!$E$2:$AL$6,5,0)*1.22,X8)</f>
        <v>447.74141470006157</v>
      </c>
      <c r="Y11" s="62">
        <f>IFERROR(HLOOKUP(Y2,'Преза НЗП без НДС'!$E$2:$AL$6,5,0)*1.22,Y8)</f>
        <v>441.36206462786572</v>
      </c>
      <c r="Z11" s="62"/>
      <c r="AA11" s="62">
        <f>IFERROR(HLOOKUP(AA2,'Преза НЗП без НДС'!$E$2:$AL$6,5,0)*1.22,AA8)</f>
        <v>67.187521537869344</v>
      </c>
      <c r="AB11" s="62">
        <f>IFERROR(HLOOKUP(AB2,'Преза НЗП без НДС'!$E$2:$AL$6,5,0)*1.22,AB8)</f>
        <v>107.81683470837996</v>
      </c>
      <c r="AC11" s="62">
        <f>IFERROR(HLOOKUP(AC2,'Преза НЗП без НДС'!$E$2:$AL$6,5,0)*1.22,AC8)</f>
        <v>87.282048697740009</v>
      </c>
      <c r="AD11" s="62">
        <f>IFERROR(HLOOKUP(AD2,'Преза НЗП без НДС'!$E$2:$AL$6,5,0)*1.22,AD8)</f>
        <v>830.81999999999994</v>
      </c>
      <c r="AE11" s="62"/>
      <c r="AF11" s="62">
        <f>IFERROR(HLOOKUP(AF2,'Преза НЗП без НДС'!$E$2:$AL$6,5,0)*1.22,AF8)</f>
        <v>683.19999999999993</v>
      </c>
      <c r="AG11" s="62">
        <f>IFERROR(HLOOKUP(AG2,'Преза НЗП без НДС'!$E$2:$AL$6,5,0)*1.22,AG8)</f>
        <v>43.916338292000006</v>
      </c>
      <c r="AH11" s="62">
        <f>IFERROR(HLOOKUP(AH2,'Преза НЗП без НДС'!$E$2:$AL$6,5,0)*1.22,AH8)</f>
        <v>384.3</v>
      </c>
      <c r="AI11" s="62">
        <f>IFERROR(HLOOKUP(AI2,'Преза НЗП без НДС'!$E$2:$AL$6,5,0)*1.22,AI8)</f>
        <v>9.7562931300000013</v>
      </c>
      <c r="AJ11" s="62">
        <f>IFERROR(HLOOKUP(AJ2,'Преза НЗП без НДС'!$E$2:$AL$6,5,0)*1.22,AJ8)</f>
        <v>125.66</v>
      </c>
      <c r="AK11" s="62">
        <f>IFERROR(HLOOKUP(AK2,'Преза НЗП без НДС'!$E$2:$AL$6,5,0)*1.22,AK8)</f>
        <v>56.12</v>
      </c>
      <c r="AL11" s="62">
        <f>IFERROR(HLOOKUP(AL2,'Преза НЗП без НДС'!$E$2:$AL$6,5,0)*1.22,AL8)</f>
        <v>62.22</v>
      </c>
      <c r="AM11" s="62">
        <f>IFERROR(HLOOKUP(AM2,'Преза НЗП без НДС'!$E$2:$AL$6,5,0)*1.22,AM8)</f>
        <v>19.900723500000002</v>
      </c>
      <c r="AN11" s="62">
        <f>IFERROR(HLOOKUP(AN2,'Преза НЗП без НДС'!$E$2:$AL$6,5,0)*1.22,AN8)</f>
        <v>20.74</v>
      </c>
      <c r="AO11" s="62">
        <f>IFERROR(HLOOKUP(AO2,'Преза НЗП без НДС'!$E$2:$AL$6,5,0)*1.22,AO8)</f>
        <v>12.143120598799999</v>
      </c>
      <c r="AP11" s="62">
        <f>IFERROR(HLOOKUP(AP2,'Преза НЗП без НДС'!$E$2:$AL$6,5,0)*1.22,AP8)</f>
        <v>153.72</v>
      </c>
      <c r="AQ11" s="62">
        <f>IFERROR(HLOOKUP(AQ2,'Преза НЗП без НДС'!$E$2:$AL$6,5,0)*1.22,AQ8)</f>
        <v>552.39558176000003</v>
      </c>
    </row>
    <row r="12" spans="1:46">
      <c r="A12" s="10">
        <v>3</v>
      </c>
      <c r="B12" s="11" t="s">
        <v>65</v>
      </c>
      <c r="C12" s="12">
        <f t="shared" si="10"/>
        <v>15910.85694319</v>
      </c>
      <c r="D12" s="12">
        <f>D14+D17+D15</f>
        <v>6493.2091034200002</v>
      </c>
      <c r="E12" s="12">
        <f>E14+E17+E15</f>
        <v>9417.6478397699993</v>
      </c>
      <c r="F12" s="12">
        <f t="shared" si="0"/>
        <v>8834.0836225799994</v>
      </c>
      <c r="G12" s="12">
        <f>G14+G17+G15</f>
        <v>6533.8714629999995</v>
      </c>
      <c r="H12" s="12">
        <f>H14+H17+H15</f>
        <v>2300.2121595799999</v>
      </c>
      <c r="I12" s="12">
        <f t="shared" si="1"/>
        <v>3581.0761317300003</v>
      </c>
      <c r="J12" s="12">
        <f>J14+J17+J15</f>
        <v>3153.1367585900002</v>
      </c>
      <c r="K12" s="12">
        <f>K14+K17+K15</f>
        <v>60.60629946000001</v>
      </c>
      <c r="L12" s="12">
        <f>L14+L17+L15</f>
        <v>367.33307367999998</v>
      </c>
      <c r="M12" s="12">
        <f>M14+M17+M15</f>
        <v>4582.2648143699998</v>
      </c>
      <c r="N12" s="12">
        <f>N14+N17+N15</f>
        <v>1944.4813121016737</v>
      </c>
      <c r="O12" s="12">
        <f>P12+Q12</f>
        <v>498.96759564999996</v>
      </c>
      <c r="P12" s="12">
        <f>P14+P17+P15</f>
        <v>15.126709349999997</v>
      </c>
      <c r="Q12" s="12">
        <f>Q14+Q17+Q15</f>
        <v>483.84088629999997</v>
      </c>
      <c r="R12" s="12">
        <f>R14+R17+R15</f>
        <v>1069.3385795300001</v>
      </c>
      <c r="S12" s="13"/>
      <c r="T12" s="12">
        <f t="shared" si="5"/>
        <v>5613.3571031600004</v>
      </c>
      <c r="U12" s="12">
        <f>U14+U17+U15</f>
        <v>709.55375475000017</v>
      </c>
      <c r="V12" s="12">
        <f>V14+V17+V15</f>
        <v>363.63202669999998</v>
      </c>
      <c r="W12" s="12">
        <f t="shared" si="6"/>
        <v>1607.6086239000003</v>
      </c>
      <c r="X12" s="12">
        <f>X14+X17+X15</f>
        <v>1330.6896236600003</v>
      </c>
      <c r="Y12" s="12">
        <f>Y14+Y17+Y15</f>
        <v>276.91900024</v>
      </c>
      <c r="Z12" s="12">
        <f t="shared" si="7"/>
        <v>230.27133915999997</v>
      </c>
      <c r="AA12" s="12">
        <f>AA14+AA17+AA15</f>
        <v>59.434177699999992</v>
      </c>
      <c r="AB12" s="12">
        <f>AB14+AB17+AB15</f>
        <v>93.58852856999998</v>
      </c>
      <c r="AC12" s="12">
        <f>AC14+AC17+AC15</f>
        <v>77.24863289000001</v>
      </c>
      <c r="AD12" s="12">
        <f>AD14+AD17+AD15</f>
        <v>738.82178108999994</v>
      </c>
      <c r="AE12" s="12">
        <f t="shared" si="9"/>
        <v>588.83810340000002</v>
      </c>
      <c r="AF12" s="12">
        <f t="shared" ref="AF12:AQ12" si="12">AF14+AF17+AF15</f>
        <v>553.54292872999997</v>
      </c>
      <c r="AG12" s="12">
        <f t="shared" si="12"/>
        <v>35.295174670000002</v>
      </c>
      <c r="AH12" s="12">
        <f t="shared" si="12"/>
        <v>356.64140456000001</v>
      </c>
      <c r="AI12" s="12">
        <f t="shared" si="12"/>
        <v>15.85703762</v>
      </c>
      <c r="AJ12" s="12">
        <f t="shared" si="12"/>
        <v>103.60970198000003</v>
      </c>
      <c r="AK12" s="12">
        <f t="shared" si="12"/>
        <v>47.65700236</v>
      </c>
      <c r="AL12" s="12">
        <f t="shared" si="12"/>
        <v>55.218092909999996</v>
      </c>
      <c r="AM12" s="12">
        <f t="shared" si="12"/>
        <v>19.850723500000001</v>
      </c>
      <c r="AN12" s="12">
        <f t="shared" si="12"/>
        <v>19.892983809999997</v>
      </c>
      <c r="AO12" s="12">
        <f t="shared" si="12"/>
        <v>10.928808539999999</v>
      </c>
      <c r="AP12" s="12">
        <f t="shared" si="12"/>
        <v>152.88476842999998</v>
      </c>
      <c r="AQ12" s="12">
        <f t="shared" si="12"/>
        <v>744.97571887999993</v>
      </c>
    </row>
    <row r="13" spans="1:46">
      <c r="A13" s="14" t="s">
        <v>66</v>
      </c>
      <c r="B13" s="53" t="s">
        <v>67</v>
      </c>
      <c r="C13" s="16">
        <f t="shared" si="10"/>
        <v>4758.8863783600009</v>
      </c>
      <c r="D13" s="16">
        <f>D14+D15+D16</f>
        <v>4058.2561121300005</v>
      </c>
      <c r="E13" s="16">
        <f>E14+E15+E16</f>
        <v>700.63026623000019</v>
      </c>
      <c r="F13" s="16">
        <f t="shared" si="0"/>
        <v>4507.7963472499996</v>
      </c>
      <c r="G13" s="16">
        <f>G14+G15+G16</f>
        <v>3459.5062319799995</v>
      </c>
      <c r="H13" s="16">
        <f>H14+H15+H16</f>
        <v>1048.2901152700001</v>
      </c>
      <c r="I13" s="16">
        <f t="shared" si="1"/>
        <v>1897.3603646399997</v>
      </c>
      <c r="J13" s="16">
        <f>J14+J15+J16</f>
        <v>1451.2269714999998</v>
      </c>
      <c r="K13" s="16">
        <f>K14+K15+K16</f>
        <v>70.601635660000014</v>
      </c>
      <c r="L13" s="16">
        <f>L14+L15+L16</f>
        <v>375.53175748000001</v>
      </c>
      <c r="M13" s="16">
        <f>M14+M15+M16</f>
        <v>1399.0691152900004</v>
      </c>
      <c r="N13" s="16">
        <f>N14+N15+N16</f>
        <v>1050.1443220516735</v>
      </c>
      <c r="O13" s="16">
        <f t="shared" si="3"/>
        <v>459.33548264999996</v>
      </c>
      <c r="P13" s="16">
        <f>P14+P15+P16</f>
        <v>15.126709349999997</v>
      </c>
      <c r="Q13" s="16">
        <f>Q14+Q15+Q16</f>
        <v>444.20877329999996</v>
      </c>
      <c r="R13" s="16">
        <f>R14+R15+R16</f>
        <v>1.491938</v>
      </c>
      <c r="S13" s="13"/>
      <c r="T13" s="16">
        <f t="shared" si="5"/>
        <v>3621.6245847200003</v>
      </c>
      <c r="U13" s="16">
        <f>U14+U15+U16</f>
        <v>715.32880647000013</v>
      </c>
      <c r="V13" s="16">
        <f>V14+V15+V16</f>
        <v>363.98202670000001</v>
      </c>
      <c r="W13" s="16">
        <f t="shared" si="6"/>
        <v>903.65163775000008</v>
      </c>
      <c r="X13" s="16">
        <f>X14+X15+X16</f>
        <v>774.55115024000008</v>
      </c>
      <c r="Y13" s="16">
        <f>Y14+Y15+Y16</f>
        <v>129.10048750999999</v>
      </c>
      <c r="Z13" s="16">
        <f t="shared" si="7"/>
        <v>194.11569798999997</v>
      </c>
      <c r="AA13" s="16">
        <f>AA14+AA15+AA16</f>
        <v>59.934177699999992</v>
      </c>
      <c r="AB13" s="16">
        <f>AB14+AB15+AB16</f>
        <v>80.058397569999983</v>
      </c>
      <c r="AC13" s="16">
        <f>AC14+AC15+AC16</f>
        <v>54.123122720000005</v>
      </c>
      <c r="AD13" s="16">
        <f>AD14+AD15+AD16</f>
        <v>285.88779424999996</v>
      </c>
      <c r="AE13" s="16">
        <f t="shared" si="9"/>
        <v>396.98810339999994</v>
      </c>
      <c r="AF13" s="16">
        <f t="shared" ref="AF13:AQ13" si="13">AF14+AF15+AF16</f>
        <v>361.69292872999995</v>
      </c>
      <c r="AG13" s="16">
        <f t="shared" si="13"/>
        <v>35.295174670000002</v>
      </c>
      <c r="AH13" s="16">
        <f t="shared" si="13"/>
        <v>322.21292355999998</v>
      </c>
      <c r="AI13" s="16">
        <f t="shared" si="13"/>
        <v>5.8570376199999998</v>
      </c>
      <c r="AJ13" s="16">
        <f t="shared" si="13"/>
        <v>103.80803098000003</v>
      </c>
      <c r="AK13" s="16">
        <f t="shared" si="13"/>
        <v>47.757002360000001</v>
      </c>
      <c r="AL13" s="16">
        <f t="shared" si="13"/>
        <v>45.518092909999993</v>
      </c>
      <c r="AM13" s="16">
        <f t="shared" si="13"/>
        <v>13.766903500000002</v>
      </c>
      <c r="AN13" s="16">
        <f t="shared" si="13"/>
        <v>19.892983809999997</v>
      </c>
      <c r="AO13" s="16">
        <f t="shared" si="13"/>
        <v>10.928808539999999</v>
      </c>
      <c r="AP13" s="16">
        <f t="shared" si="13"/>
        <v>137.93476842999999</v>
      </c>
      <c r="AQ13" s="16">
        <f t="shared" si="13"/>
        <v>191.92873488000001</v>
      </c>
      <c r="AR13" s="13"/>
    </row>
    <row r="14" spans="1:46" outlineLevel="1">
      <c r="A14" s="14" t="s">
        <v>68</v>
      </c>
      <c r="B14" s="52" t="s">
        <v>69</v>
      </c>
      <c r="C14" s="16">
        <f t="shared" si="10"/>
        <v>1905.5391556300001</v>
      </c>
      <c r="D14" s="16">
        <v>1602.0296988300001</v>
      </c>
      <c r="E14" s="16">
        <v>303.50945680000001</v>
      </c>
      <c r="F14" s="16">
        <f t="shared" si="0"/>
        <v>1729.7749972699999</v>
      </c>
      <c r="G14" s="16">
        <v>1613.11676498</v>
      </c>
      <c r="H14" s="16">
        <v>116.65823228999999</v>
      </c>
      <c r="I14" s="16">
        <f t="shared" si="1"/>
        <v>539.88256164000006</v>
      </c>
      <c r="J14" s="16">
        <v>509.00208629000008</v>
      </c>
      <c r="K14" s="16">
        <v>0</v>
      </c>
      <c r="L14" s="16">
        <v>30.880475350000001</v>
      </c>
      <c r="M14" s="16">
        <v>65.650184709999991</v>
      </c>
      <c r="N14" s="16">
        <v>68.537898020000014</v>
      </c>
      <c r="O14" s="16">
        <f t="shared" si="3"/>
        <v>77.194054919999999</v>
      </c>
      <c r="P14" s="16">
        <v>0</v>
      </c>
      <c r="Q14" s="16">
        <v>77.194054919999999</v>
      </c>
      <c r="R14" s="16">
        <v>0</v>
      </c>
      <c r="S14" s="13"/>
      <c r="T14" s="16">
        <f t="shared" si="5"/>
        <v>3243.8326447700001</v>
      </c>
      <c r="U14" s="16">
        <v>709.55375475000017</v>
      </c>
      <c r="V14" s="16">
        <v>363.63202669999998</v>
      </c>
      <c r="W14" s="16">
        <f t="shared" si="6"/>
        <v>620.26716768000006</v>
      </c>
      <c r="X14" s="16">
        <v>591.01549888000011</v>
      </c>
      <c r="Y14" s="16">
        <v>29.251668799999997</v>
      </c>
      <c r="Z14" s="16">
        <f t="shared" si="7"/>
        <v>192.35608298999998</v>
      </c>
      <c r="AA14" s="16">
        <v>59.434177699999992</v>
      </c>
      <c r="AB14" s="16">
        <v>78.798782569999986</v>
      </c>
      <c r="AC14" s="16">
        <v>54.123122720000005</v>
      </c>
      <c r="AD14" s="16">
        <v>206.81083908999997</v>
      </c>
      <c r="AE14" s="16">
        <f t="shared" si="9"/>
        <v>396.83810339999997</v>
      </c>
      <c r="AF14" s="16">
        <v>361.54292872999997</v>
      </c>
      <c r="AG14" s="16">
        <v>35.295174670000002</v>
      </c>
      <c r="AH14" s="16">
        <v>315.56540455999999</v>
      </c>
      <c r="AI14" s="16">
        <v>5.8570376199999998</v>
      </c>
      <c r="AJ14" s="16">
        <v>103.60970198000003</v>
      </c>
      <c r="AK14" s="16">
        <v>47.65700236</v>
      </c>
      <c r="AL14" s="16">
        <v>45.218092909999996</v>
      </c>
      <c r="AM14" s="16">
        <v>13.716903500000001</v>
      </c>
      <c r="AN14" s="16">
        <v>19.892983809999997</v>
      </c>
      <c r="AO14" s="16">
        <v>10.928808539999999</v>
      </c>
      <c r="AP14" s="16">
        <v>137.88476842999998</v>
      </c>
      <c r="AQ14" s="16">
        <v>191.92873488000001</v>
      </c>
      <c r="AR14" s="13"/>
    </row>
    <row r="15" spans="1:46" outlineLevel="1">
      <c r="A15" s="14" t="s">
        <v>70</v>
      </c>
      <c r="B15" s="52" t="s">
        <v>71</v>
      </c>
      <c r="C15" s="16">
        <f t="shared" si="10"/>
        <v>2598.0061966000003</v>
      </c>
      <c r="D15" s="16">
        <v>1840.1149352300001</v>
      </c>
      <c r="E15" s="16">
        <v>757.89126137000017</v>
      </c>
      <c r="F15" s="16">
        <f t="shared" si="0"/>
        <v>2471.7055825799998</v>
      </c>
      <c r="G15" s="16">
        <v>1651.1233458099996</v>
      </c>
      <c r="H15" s="16">
        <v>820.58223677000001</v>
      </c>
      <c r="I15" s="16">
        <f t="shared" si="1"/>
        <v>1266.9537547899999</v>
      </c>
      <c r="J15" s="16">
        <v>869.89485699999989</v>
      </c>
      <c r="K15" s="16">
        <v>60.60629946000001</v>
      </c>
      <c r="L15" s="16">
        <v>336.45259833</v>
      </c>
      <c r="M15" s="16">
        <v>1326.1877025800002</v>
      </c>
      <c r="N15" s="16">
        <v>974.33755570167352</v>
      </c>
      <c r="O15" s="16">
        <f t="shared" si="3"/>
        <v>364.77354072999998</v>
      </c>
      <c r="P15" s="16">
        <v>15.126709349999997</v>
      </c>
      <c r="Q15" s="16">
        <v>349.64683137999998</v>
      </c>
      <c r="R15" s="16">
        <v>0</v>
      </c>
      <c r="S15" s="13"/>
      <c r="T15" s="16">
        <f t="shared" si="5"/>
        <v>243.85457974000002</v>
      </c>
      <c r="U15" s="16">
        <v>0</v>
      </c>
      <c r="V15" s="16">
        <v>0</v>
      </c>
      <c r="W15" s="16">
        <f t="shared" si="6"/>
        <v>243.85457974000002</v>
      </c>
      <c r="X15" s="16">
        <v>208.96506385000001</v>
      </c>
      <c r="Y15" s="16">
        <v>34.889515889999998</v>
      </c>
      <c r="Z15" s="16">
        <f t="shared" si="7"/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f t="shared" si="9"/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3"/>
    </row>
    <row r="16" spans="1:46" outlineLevel="1">
      <c r="A16" s="14" t="s">
        <v>72</v>
      </c>
      <c r="B16" s="54" t="s">
        <v>73</v>
      </c>
      <c r="C16" s="16">
        <f>D16+E16</f>
        <v>255.34102612999999</v>
      </c>
      <c r="D16" s="16">
        <v>616.11147806999998</v>
      </c>
      <c r="E16" s="16">
        <v>-360.77045193999999</v>
      </c>
      <c r="F16" s="16">
        <f>G16+H16</f>
        <v>306.31576740000003</v>
      </c>
      <c r="G16" s="16">
        <v>195.26612119000001</v>
      </c>
      <c r="H16" s="16">
        <v>111.04964621000001</v>
      </c>
      <c r="I16" s="16">
        <f>J16+K16+L16</f>
        <v>90.524048209999989</v>
      </c>
      <c r="J16" s="16">
        <v>72.330028209999995</v>
      </c>
      <c r="K16" s="16">
        <v>9.9953361999999988</v>
      </c>
      <c r="L16" s="16">
        <v>8.1986837999999995</v>
      </c>
      <c r="M16" s="16">
        <v>7.2312279999999998</v>
      </c>
      <c r="N16" s="16">
        <v>7.2688683300000001</v>
      </c>
      <c r="O16" s="16">
        <f>P16+Q16</f>
        <v>17.367887</v>
      </c>
      <c r="P16" s="16">
        <v>0</v>
      </c>
      <c r="Q16" s="16">
        <v>17.367887</v>
      </c>
      <c r="R16" s="16">
        <v>1.491938</v>
      </c>
      <c r="S16" s="13"/>
      <c r="T16" s="16">
        <f>U16+V16+W16+Z16+AD16+AE16+AH16+AI16+AJ16+AK16+AL16+AM16+AN16+AO16+AQ16</f>
        <v>133.93736020999998</v>
      </c>
      <c r="U16" s="16">
        <v>5.7750517199999996</v>
      </c>
      <c r="V16" s="16">
        <v>0.35</v>
      </c>
      <c r="W16" s="16">
        <f>X16+Y16</f>
        <v>39.529890329999994</v>
      </c>
      <c r="X16" s="16">
        <v>-25.429412489999997</v>
      </c>
      <c r="Y16" s="16">
        <v>64.959302819999991</v>
      </c>
      <c r="Z16" s="16">
        <f>SUM(AA16:AC16)</f>
        <v>1.7596149999999999</v>
      </c>
      <c r="AA16" s="16">
        <v>0.5</v>
      </c>
      <c r="AB16" s="16">
        <v>1.2596149999999999</v>
      </c>
      <c r="AC16" s="16">
        <v>0</v>
      </c>
      <c r="AD16" s="16">
        <v>79.076955159999969</v>
      </c>
      <c r="AE16" s="16">
        <f>AF16+AG16</f>
        <v>0.15</v>
      </c>
      <c r="AF16" s="16">
        <v>0.15</v>
      </c>
      <c r="AG16" s="16">
        <v>0</v>
      </c>
      <c r="AH16" s="16">
        <v>6.647519</v>
      </c>
      <c r="AI16" s="16">
        <v>0</v>
      </c>
      <c r="AJ16" s="16">
        <v>0.19832899999999989</v>
      </c>
      <c r="AK16" s="16">
        <v>0.1</v>
      </c>
      <c r="AL16" s="16">
        <v>0.3</v>
      </c>
      <c r="AM16" s="16">
        <v>0.05</v>
      </c>
      <c r="AN16" s="16">
        <v>0</v>
      </c>
      <c r="AO16" s="16">
        <v>0</v>
      </c>
      <c r="AP16" s="16">
        <v>0.05</v>
      </c>
      <c r="AQ16" s="16">
        <v>0</v>
      </c>
    </row>
    <row r="17" spans="1:44">
      <c r="A17" s="14" t="s">
        <v>74</v>
      </c>
      <c r="B17" s="53" t="s">
        <v>75</v>
      </c>
      <c r="C17" s="16">
        <f t="shared" si="10"/>
        <v>11407.31159096</v>
      </c>
      <c r="D17" s="16">
        <f t="shared" ref="D17:R17" si="14">D18+D19</f>
        <v>3051.0644693600002</v>
      </c>
      <c r="E17" s="16">
        <f t="shared" si="14"/>
        <v>8356.2471215999994</v>
      </c>
      <c r="F17" s="16">
        <f t="shared" si="0"/>
        <v>4632.6030427300002</v>
      </c>
      <c r="G17" s="16">
        <f t="shared" si="14"/>
        <v>3269.6313522100004</v>
      </c>
      <c r="H17" s="16">
        <f t="shared" si="14"/>
        <v>1362.97169052</v>
      </c>
      <c r="I17" s="16">
        <f t="shared" si="1"/>
        <v>1774.2398153000001</v>
      </c>
      <c r="J17" s="16">
        <f t="shared" si="14"/>
        <v>1774.2398153000001</v>
      </c>
      <c r="K17" s="16">
        <f t="shared" si="14"/>
        <v>0</v>
      </c>
      <c r="L17" s="16">
        <f t="shared" si="14"/>
        <v>0</v>
      </c>
      <c r="M17" s="16">
        <f>M18+M19</f>
        <v>3190.42692708</v>
      </c>
      <c r="N17" s="16">
        <f>N18+N19</f>
        <v>901.60585837999997</v>
      </c>
      <c r="O17" s="16">
        <f t="shared" si="3"/>
        <v>57</v>
      </c>
      <c r="P17" s="16">
        <f t="shared" ref="P17" si="15">P18+P19</f>
        <v>0</v>
      </c>
      <c r="Q17" s="16">
        <f t="shared" si="14"/>
        <v>57</v>
      </c>
      <c r="R17" s="16">
        <f t="shared" si="14"/>
        <v>1069.3385795300001</v>
      </c>
      <c r="S17" s="13"/>
      <c r="T17" s="16">
        <f t="shared" si="5"/>
        <v>2125.6698786500001</v>
      </c>
      <c r="U17" s="16">
        <f t="shared" ref="U17:AQ17" si="16">U18+U19</f>
        <v>0</v>
      </c>
      <c r="V17" s="16">
        <f t="shared" si="16"/>
        <v>0</v>
      </c>
      <c r="W17" s="16">
        <f t="shared" si="6"/>
        <v>743.48687648000009</v>
      </c>
      <c r="X17" s="16">
        <f>X18+X19</f>
        <v>530.70906093000008</v>
      </c>
      <c r="Y17" s="16">
        <f t="shared" si="16"/>
        <v>212.77781555000001</v>
      </c>
      <c r="Z17" s="16">
        <f t="shared" si="7"/>
        <v>37.915256169999999</v>
      </c>
      <c r="AA17" s="16">
        <f t="shared" si="16"/>
        <v>0</v>
      </c>
      <c r="AB17" s="16">
        <f t="shared" si="16"/>
        <v>14.789745999999999</v>
      </c>
      <c r="AC17" s="16">
        <f t="shared" si="16"/>
        <v>23.125510169999998</v>
      </c>
      <c r="AD17" s="16">
        <f t="shared" si="16"/>
        <v>532.010942</v>
      </c>
      <c r="AE17" s="16">
        <f t="shared" si="9"/>
        <v>192</v>
      </c>
      <c r="AF17" s="16">
        <f t="shared" si="16"/>
        <v>192</v>
      </c>
      <c r="AG17" s="16">
        <f t="shared" si="16"/>
        <v>0</v>
      </c>
      <c r="AH17" s="16">
        <f t="shared" si="16"/>
        <v>41.076000000000001</v>
      </c>
      <c r="AI17" s="16">
        <f t="shared" si="16"/>
        <v>10</v>
      </c>
      <c r="AJ17" s="16">
        <f t="shared" si="16"/>
        <v>0</v>
      </c>
      <c r="AK17" s="16">
        <f t="shared" si="16"/>
        <v>0</v>
      </c>
      <c r="AL17" s="16">
        <f t="shared" si="16"/>
        <v>10</v>
      </c>
      <c r="AM17" s="16">
        <f t="shared" si="16"/>
        <v>6.1338200000000001</v>
      </c>
      <c r="AN17" s="16">
        <f t="shared" si="16"/>
        <v>0</v>
      </c>
      <c r="AO17" s="16">
        <f t="shared" si="16"/>
        <v>0</v>
      </c>
      <c r="AP17" s="16">
        <f t="shared" si="16"/>
        <v>15</v>
      </c>
      <c r="AQ17" s="16">
        <f t="shared" si="16"/>
        <v>553.04698399999995</v>
      </c>
      <c r="AR17" s="13"/>
    </row>
    <row r="18" spans="1:44" outlineLevel="1">
      <c r="A18" s="14" t="s">
        <v>76</v>
      </c>
      <c r="B18" s="52" t="s">
        <v>77</v>
      </c>
      <c r="C18" s="16">
        <f t="shared" si="10"/>
        <v>10653.03374449</v>
      </c>
      <c r="D18" s="16">
        <v>2926.0089709700001</v>
      </c>
      <c r="E18" s="16">
        <v>7727.0247735199991</v>
      </c>
      <c r="F18" s="16">
        <f t="shared" si="0"/>
        <v>3897.6030907800005</v>
      </c>
      <c r="G18" s="16">
        <v>2534.6314002600002</v>
      </c>
      <c r="H18" s="16">
        <v>1362.97169052</v>
      </c>
      <c r="I18" s="16">
        <f t="shared" si="1"/>
        <v>1206.4651296300001</v>
      </c>
      <c r="J18" s="16">
        <v>1206.4651296300001</v>
      </c>
      <c r="K18" s="16">
        <v>0</v>
      </c>
      <c r="L18" s="16">
        <v>0</v>
      </c>
      <c r="M18" s="16">
        <v>3190.42692708</v>
      </c>
      <c r="N18" s="16">
        <v>901.60585837999997</v>
      </c>
      <c r="O18" s="16">
        <f t="shared" si="3"/>
        <v>0</v>
      </c>
      <c r="P18" s="16">
        <v>0</v>
      </c>
      <c r="Q18" s="16">
        <v>0</v>
      </c>
      <c r="R18" s="16">
        <v>1069.3385795300001</v>
      </c>
      <c r="S18" s="13"/>
      <c r="T18" s="16">
        <f t="shared" si="5"/>
        <v>631.34681999999998</v>
      </c>
      <c r="U18" s="16">
        <v>0</v>
      </c>
      <c r="V18" s="16">
        <v>0</v>
      </c>
      <c r="W18" s="16">
        <f t="shared" si="6"/>
        <v>0</v>
      </c>
      <c r="X18" s="16">
        <v>0</v>
      </c>
      <c r="Y18" s="16">
        <v>0</v>
      </c>
      <c r="Z18" s="16">
        <f t="shared" si="7"/>
        <v>0</v>
      </c>
      <c r="AA18" s="16">
        <v>0</v>
      </c>
      <c r="AB18" s="16">
        <v>0</v>
      </c>
      <c r="AC18" s="16">
        <v>0</v>
      </c>
      <c r="AD18" s="16">
        <v>382.137</v>
      </c>
      <c r="AE18" s="16">
        <f t="shared" si="9"/>
        <v>192</v>
      </c>
      <c r="AF18" s="16">
        <v>192</v>
      </c>
      <c r="AG18" s="16">
        <v>0</v>
      </c>
      <c r="AH18" s="16">
        <v>41.076000000000001</v>
      </c>
      <c r="AI18" s="16">
        <v>0</v>
      </c>
      <c r="AJ18" s="16">
        <v>0</v>
      </c>
      <c r="AK18" s="16">
        <v>0</v>
      </c>
      <c r="AL18" s="16">
        <v>10</v>
      </c>
      <c r="AM18" s="16">
        <v>6.1338200000000001</v>
      </c>
      <c r="AN18" s="16">
        <v>0</v>
      </c>
      <c r="AO18" s="16">
        <v>0</v>
      </c>
      <c r="AP18" s="16">
        <v>15</v>
      </c>
      <c r="AQ18" s="16">
        <v>0</v>
      </c>
      <c r="AR18" s="13"/>
    </row>
    <row r="19" spans="1:44" outlineLevel="1">
      <c r="A19" s="14" t="s">
        <v>78</v>
      </c>
      <c r="B19" s="52" t="s">
        <v>79</v>
      </c>
      <c r="C19" s="16">
        <f t="shared" si="10"/>
        <v>754.27784646999999</v>
      </c>
      <c r="D19" s="16">
        <v>125.05549839</v>
      </c>
      <c r="E19" s="16">
        <v>629.22234807999996</v>
      </c>
      <c r="F19" s="16">
        <f t="shared" si="0"/>
        <v>734.99995195000008</v>
      </c>
      <c r="G19" s="16">
        <v>734.99995195000008</v>
      </c>
      <c r="H19" s="16">
        <v>0</v>
      </c>
      <c r="I19" s="16">
        <f t="shared" si="1"/>
        <v>567.77468567000005</v>
      </c>
      <c r="J19" s="16">
        <v>567.77468567000005</v>
      </c>
      <c r="K19" s="16">
        <v>0</v>
      </c>
      <c r="L19" s="16">
        <v>0</v>
      </c>
      <c r="M19" s="16">
        <v>0</v>
      </c>
      <c r="N19" s="16">
        <v>0</v>
      </c>
      <c r="O19" s="16">
        <f t="shared" si="3"/>
        <v>57</v>
      </c>
      <c r="P19" s="16">
        <v>0</v>
      </c>
      <c r="Q19" s="16">
        <v>57</v>
      </c>
      <c r="R19" s="16">
        <v>0</v>
      </c>
      <c r="S19" s="13"/>
      <c r="T19" s="16">
        <f t="shared" si="5"/>
        <v>1494.3230586499999</v>
      </c>
      <c r="U19" s="16">
        <v>0</v>
      </c>
      <c r="V19" s="16">
        <v>0</v>
      </c>
      <c r="W19" s="16">
        <f t="shared" si="6"/>
        <v>743.48687648000009</v>
      </c>
      <c r="X19" s="16">
        <v>530.70906093000008</v>
      </c>
      <c r="Y19" s="16">
        <v>212.77781555000001</v>
      </c>
      <c r="Z19" s="16">
        <f t="shared" si="7"/>
        <v>37.915256169999999</v>
      </c>
      <c r="AA19" s="16">
        <v>0</v>
      </c>
      <c r="AB19" s="16">
        <v>14.789745999999999</v>
      </c>
      <c r="AC19" s="16">
        <v>23.125510169999998</v>
      </c>
      <c r="AD19" s="16">
        <v>149.873942</v>
      </c>
      <c r="AE19" s="16">
        <f t="shared" si="9"/>
        <v>0</v>
      </c>
      <c r="AF19" s="16">
        <v>0</v>
      </c>
      <c r="AG19" s="16">
        <v>0</v>
      </c>
      <c r="AH19" s="16">
        <v>0</v>
      </c>
      <c r="AI19" s="16">
        <v>10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553.04698399999995</v>
      </c>
    </row>
    <row r="20" spans="1:44">
      <c r="A20" s="14" t="s">
        <v>80</v>
      </c>
      <c r="B20" s="53" t="s">
        <v>81</v>
      </c>
      <c r="C20" s="16">
        <f t="shared" si="10"/>
        <v>1319.0045574599999</v>
      </c>
      <c r="D20" s="16">
        <v>503.13783132999998</v>
      </c>
      <c r="E20" s="16">
        <v>815.86672612999996</v>
      </c>
      <c r="F20" s="16">
        <f t="shared" si="0"/>
        <v>1536.1943171400001</v>
      </c>
      <c r="G20" s="16">
        <v>1536.1943171400001</v>
      </c>
      <c r="H20" s="16">
        <v>-3.7252902984619139E-15</v>
      </c>
      <c r="I20" s="16">
        <f t="shared" si="1"/>
        <v>385.22535140999997</v>
      </c>
      <c r="J20" s="16">
        <v>385.22535140999997</v>
      </c>
      <c r="K20" s="16">
        <v>0</v>
      </c>
      <c r="L20" s="16">
        <v>0</v>
      </c>
      <c r="M20" s="16">
        <v>613.90750702000003</v>
      </c>
      <c r="N20" s="16">
        <v>189.46555253832656</v>
      </c>
      <c r="O20" s="16">
        <f t="shared" si="3"/>
        <v>56.999999999999993</v>
      </c>
      <c r="P20" s="16">
        <v>0</v>
      </c>
      <c r="Q20" s="16">
        <v>56.999999999999993</v>
      </c>
      <c r="R20" s="16">
        <v>7.2086601900000007</v>
      </c>
      <c r="S20" s="13"/>
      <c r="T20" s="16">
        <f t="shared" si="5"/>
        <v>1726.4501750485308</v>
      </c>
      <c r="U20" s="16">
        <v>0</v>
      </c>
      <c r="V20" s="16">
        <v>0</v>
      </c>
      <c r="W20" s="16">
        <f t="shared" si="6"/>
        <v>543.5204692100001</v>
      </c>
      <c r="X20" s="16">
        <v>330.74265366000003</v>
      </c>
      <c r="Y20" s="16">
        <v>212.77781555000001</v>
      </c>
      <c r="Z20" s="16">
        <f t="shared" si="7"/>
        <v>37.915256159999998</v>
      </c>
      <c r="AA20" s="16">
        <v>0</v>
      </c>
      <c r="AB20" s="16">
        <v>14.789745999999999</v>
      </c>
      <c r="AC20" s="16">
        <v>23.125510160000001</v>
      </c>
      <c r="AD20" s="16">
        <v>532.01094199999989</v>
      </c>
      <c r="AE20" s="16">
        <f t="shared" si="9"/>
        <v>192</v>
      </c>
      <c r="AF20" s="16">
        <v>192</v>
      </c>
      <c r="AG20" s="16">
        <v>0</v>
      </c>
      <c r="AH20" s="16">
        <v>41.075999998530968</v>
      </c>
      <c r="AI20" s="16">
        <v>3.3268407999999998</v>
      </c>
      <c r="AJ20" s="16">
        <v>0</v>
      </c>
      <c r="AK20" s="16">
        <v>0</v>
      </c>
      <c r="AL20" s="16">
        <v>10</v>
      </c>
      <c r="AM20" s="16">
        <v>6.1338200000000001</v>
      </c>
      <c r="AN20" s="16">
        <v>0</v>
      </c>
      <c r="AO20" s="16">
        <v>0</v>
      </c>
      <c r="AP20" s="16">
        <v>15</v>
      </c>
      <c r="AQ20" s="16">
        <v>360.46684687999999</v>
      </c>
      <c r="AR20" s="17"/>
    </row>
    <row r="21" spans="1:44" outlineLevel="1">
      <c r="A21" s="14" t="s">
        <v>82</v>
      </c>
      <c r="B21" s="52" t="s">
        <v>77</v>
      </c>
      <c r="C21" s="16">
        <f t="shared" si="10"/>
        <v>564.72671097</v>
      </c>
      <c r="D21" s="16">
        <v>378.08233294000001</v>
      </c>
      <c r="E21" s="16">
        <v>186.64437803000001</v>
      </c>
      <c r="F21" s="16">
        <f t="shared" si="0"/>
        <v>801.19436518999998</v>
      </c>
      <c r="G21" s="16">
        <v>801.19436518999998</v>
      </c>
      <c r="H21" s="16">
        <v>-3.7252902984619139E-15</v>
      </c>
      <c r="I21" s="16">
        <f t="shared" si="1"/>
        <v>100.5650224</v>
      </c>
      <c r="J21" s="16">
        <v>100.5650224</v>
      </c>
      <c r="K21" s="16">
        <v>0</v>
      </c>
      <c r="L21" s="16">
        <v>0</v>
      </c>
      <c r="M21" s="16">
        <v>613.90750702000003</v>
      </c>
      <c r="N21" s="16">
        <v>189.46555253832656</v>
      </c>
      <c r="O21" s="16">
        <f t="shared" si="3"/>
        <v>0</v>
      </c>
      <c r="P21" s="16">
        <v>0</v>
      </c>
      <c r="Q21" s="16">
        <v>0</v>
      </c>
      <c r="R21" s="16">
        <v>7.2086601900000007</v>
      </c>
      <c r="S21" s="13"/>
      <c r="T21" s="16">
        <f t="shared" si="5"/>
        <v>631.34681999853092</v>
      </c>
      <c r="U21" s="16">
        <v>0</v>
      </c>
      <c r="V21" s="16">
        <v>0</v>
      </c>
      <c r="W21" s="16">
        <f t="shared" si="6"/>
        <v>0</v>
      </c>
      <c r="X21" s="16">
        <v>0</v>
      </c>
      <c r="Y21" s="16">
        <v>0</v>
      </c>
      <c r="Z21" s="16">
        <f t="shared" si="7"/>
        <v>0</v>
      </c>
      <c r="AA21" s="16">
        <v>0</v>
      </c>
      <c r="AB21" s="16">
        <v>0</v>
      </c>
      <c r="AC21" s="16">
        <v>0</v>
      </c>
      <c r="AD21" s="16">
        <v>382.13699999999994</v>
      </c>
      <c r="AE21" s="16">
        <f t="shared" si="9"/>
        <v>192</v>
      </c>
      <c r="AF21" s="16">
        <v>192</v>
      </c>
      <c r="AG21" s="16">
        <v>0</v>
      </c>
      <c r="AH21" s="16">
        <v>41.075999998530968</v>
      </c>
      <c r="AI21" s="16">
        <v>0</v>
      </c>
      <c r="AJ21" s="16">
        <v>0</v>
      </c>
      <c r="AK21" s="16">
        <v>0</v>
      </c>
      <c r="AL21" s="16">
        <v>10</v>
      </c>
      <c r="AM21" s="16">
        <v>6.1338200000000001</v>
      </c>
      <c r="AN21" s="16">
        <v>0</v>
      </c>
      <c r="AO21" s="16">
        <v>0</v>
      </c>
      <c r="AP21" s="16">
        <v>15</v>
      </c>
      <c r="AQ21" s="16">
        <v>0</v>
      </c>
      <c r="AR21" s="18"/>
    </row>
    <row r="22" spans="1:44" outlineLevel="1">
      <c r="A22" s="14" t="s">
        <v>83</v>
      </c>
      <c r="B22" s="52" t="s">
        <v>79</v>
      </c>
      <c r="C22" s="16">
        <f t="shared" si="10"/>
        <v>754.27784649</v>
      </c>
      <c r="D22" s="16">
        <v>125.05549839000001</v>
      </c>
      <c r="E22" s="16">
        <v>629.22234809999998</v>
      </c>
      <c r="F22" s="16">
        <f t="shared" si="0"/>
        <v>734.99995195000008</v>
      </c>
      <c r="G22" s="16">
        <v>734.99995195000008</v>
      </c>
      <c r="H22" s="16">
        <v>0</v>
      </c>
      <c r="I22" s="16">
        <f t="shared" si="1"/>
        <v>284.66032868999997</v>
      </c>
      <c r="J22" s="16">
        <v>284.66032868999997</v>
      </c>
      <c r="K22" s="16">
        <v>0</v>
      </c>
      <c r="L22" s="16">
        <v>0</v>
      </c>
      <c r="M22" s="16">
        <v>0</v>
      </c>
      <c r="N22" s="16">
        <v>0</v>
      </c>
      <c r="O22" s="16">
        <f t="shared" si="3"/>
        <v>56.999999999999993</v>
      </c>
      <c r="P22" s="16">
        <v>0</v>
      </c>
      <c r="Q22" s="16">
        <v>56.999999999999993</v>
      </c>
      <c r="R22" s="16">
        <v>0</v>
      </c>
      <c r="S22" s="13"/>
      <c r="T22" s="16">
        <f t="shared" si="5"/>
        <v>1095.1033550500001</v>
      </c>
      <c r="U22" s="16">
        <v>0</v>
      </c>
      <c r="V22" s="16">
        <v>0</v>
      </c>
      <c r="W22" s="16">
        <f t="shared" si="6"/>
        <v>543.5204692100001</v>
      </c>
      <c r="X22" s="16">
        <v>330.74265366000003</v>
      </c>
      <c r="Y22" s="16">
        <v>212.77781555000001</v>
      </c>
      <c r="Z22" s="16">
        <f t="shared" si="7"/>
        <v>37.915256159999998</v>
      </c>
      <c r="AA22" s="16">
        <v>0</v>
      </c>
      <c r="AB22" s="16">
        <v>14.789745999999999</v>
      </c>
      <c r="AC22" s="16">
        <v>23.125510160000001</v>
      </c>
      <c r="AD22" s="16">
        <v>149.873942</v>
      </c>
      <c r="AE22" s="16">
        <f t="shared" si="9"/>
        <v>0</v>
      </c>
      <c r="AF22" s="16">
        <v>0</v>
      </c>
      <c r="AG22" s="16">
        <v>0</v>
      </c>
      <c r="AH22" s="16">
        <v>0</v>
      </c>
      <c r="AI22" s="16">
        <v>3.3268407999999998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360.46684687999999</v>
      </c>
      <c r="AR22" s="18"/>
    </row>
    <row r="23" spans="1:44">
      <c r="A23" s="10">
        <v>4</v>
      </c>
      <c r="B23" s="11" t="s">
        <v>84</v>
      </c>
      <c r="C23" s="12">
        <f t="shared" si="10"/>
        <v>10083.996629322899</v>
      </c>
      <c r="D23" s="12">
        <f>D24+D27+D28</f>
        <v>2543.6162338528998</v>
      </c>
      <c r="E23" s="12">
        <f>E24+E27+E28</f>
        <v>7540.3803954699997</v>
      </c>
      <c r="F23" s="12">
        <f t="shared" si="0"/>
        <v>2654.1061110393998</v>
      </c>
      <c r="G23" s="12">
        <f t="shared" ref="G23:H23" si="17">G24+G27+G28</f>
        <v>1478.4726941193994</v>
      </c>
      <c r="H23" s="12">
        <f t="shared" si="17"/>
        <v>1175.6334169200004</v>
      </c>
      <c r="I23" s="12">
        <f t="shared" si="1"/>
        <v>1327.2081184900005</v>
      </c>
      <c r="J23" s="12">
        <f t="shared" ref="J23:N23" si="18">J24+J27+J28</f>
        <v>1385.1207128900005</v>
      </c>
      <c r="K23" s="12">
        <f t="shared" si="18"/>
        <v>1.9999998679409714E-7</v>
      </c>
      <c r="L23" s="12">
        <f t="shared" si="18"/>
        <v>-57.912594599999935</v>
      </c>
      <c r="M23" s="12">
        <f t="shared" si="18"/>
        <v>2576.5194200600004</v>
      </c>
      <c r="N23" s="12">
        <f t="shared" si="18"/>
        <v>712.14030584167347</v>
      </c>
      <c r="O23" s="12">
        <f t="shared" si="3"/>
        <v>-6.8167693711984612E-14</v>
      </c>
      <c r="P23" s="12">
        <f t="shared" ref="P23:R23" si="19">P24+P27+P28</f>
        <v>-6.6613381477509392E-16</v>
      </c>
      <c r="Q23" s="12">
        <f t="shared" si="19"/>
        <v>-6.7501559897209518E-14</v>
      </c>
      <c r="R23" s="12">
        <f t="shared" si="19"/>
        <v>1049.2045369699999</v>
      </c>
      <c r="S23" s="13"/>
      <c r="T23" s="12">
        <f t="shared" si="5"/>
        <v>221.74885715000022</v>
      </c>
      <c r="U23" s="12">
        <f t="shared" ref="U23:V23" si="20">U24+U27+U28</f>
        <v>3.0000010000222233E-2</v>
      </c>
      <c r="V23" s="12">
        <f t="shared" si="20"/>
        <v>-1.0000050565395213E-8</v>
      </c>
      <c r="W23" s="12">
        <f t="shared" si="6"/>
        <v>121.03951685000018</v>
      </c>
      <c r="X23" s="12">
        <f t="shared" ref="X23:Y23" si="21">X24+X27+X28</f>
        <v>199.96640728000014</v>
      </c>
      <c r="Y23" s="12">
        <f t="shared" si="21"/>
        <v>-78.926890429999958</v>
      </c>
      <c r="Z23" s="12">
        <f t="shared" si="7"/>
        <v>-11.954854980000015</v>
      </c>
      <c r="AA23" s="12">
        <f t="shared" ref="AA23:AD23" si="22">AA24+AA27+AA28</f>
        <v>-3.3522876900000065</v>
      </c>
      <c r="AB23" s="12">
        <f t="shared" si="22"/>
        <v>9.9999883929058342E-9</v>
      </c>
      <c r="AC23" s="12">
        <f t="shared" si="22"/>
        <v>-8.6025672999999969</v>
      </c>
      <c r="AD23" s="12">
        <f t="shared" si="22"/>
        <v>-1.1368683772161603E-13</v>
      </c>
      <c r="AE23" s="12">
        <f t="shared" si="9"/>
        <v>-68.966704459999931</v>
      </c>
      <c r="AF23" s="12">
        <f t="shared" ref="AF23:AQ23" si="23">AF24+AF27+AF28</f>
        <v>-65.325427569999931</v>
      </c>
      <c r="AG23" s="12">
        <f t="shared" si="23"/>
        <v>-3.6412768900000003</v>
      </c>
      <c r="AH23" s="12">
        <f t="shared" si="23"/>
        <v>1.7763568394002505E-14</v>
      </c>
      <c r="AI23" s="12">
        <f>AI24+AI27+AI28</f>
        <v>6.5867314499999994</v>
      </c>
      <c r="AJ23" s="12">
        <f t="shared" si="23"/>
        <v>-11.597220629999976</v>
      </c>
      <c r="AK23" s="12">
        <f t="shared" si="23"/>
        <v>-5.0281812100000138</v>
      </c>
      <c r="AL23" s="12">
        <f t="shared" si="23"/>
        <v>-2.0000008760234778E-8</v>
      </c>
      <c r="AM23" s="12">
        <f t="shared" si="23"/>
        <v>0</v>
      </c>
      <c r="AN23" s="12">
        <f t="shared" si="23"/>
        <v>-0.940566970000003</v>
      </c>
      <c r="AO23" s="12">
        <f t="shared" si="23"/>
        <v>-2.6645352591003757E-15</v>
      </c>
      <c r="AP23" s="12">
        <f t="shared" si="23"/>
        <v>-17.335761450000053</v>
      </c>
      <c r="AQ23" s="12">
        <f t="shared" si="23"/>
        <v>192.5801371199999</v>
      </c>
    </row>
    <row r="24" spans="1:44">
      <c r="A24" s="14" t="s">
        <v>85</v>
      </c>
      <c r="B24" s="53" t="s">
        <v>86</v>
      </c>
      <c r="C24" s="16">
        <f>D24+E24</f>
        <v>10088.307033499999</v>
      </c>
      <c r="D24" s="16">
        <f t="shared" ref="D24:E26" si="24">D17-D20</f>
        <v>2547.92663803</v>
      </c>
      <c r="E24" s="16">
        <f t="shared" si="24"/>
        <v>7540.3803954699997</v>
      </c>
      <c r="F24" s="16">
        <f>G24+H24</f>
        <v>3096.4087255900004</v>
      </c>
      <c r="G24" s="16">
        <f t="shared" ref="G24:H26" si="25">G17-G20</f>
        <v>1733.4370350700003</v>
      </c>
      <c r="H24" s="16">
        <f t="shared" si="25"/>
        <v>1362.97169052</v>
      </c>
      <c r="I24" s="16">
        <f t="shared" si="1"/>
        <v>1389.0144638900001</v>
      </c>
      <c r="J24" s="16">
        <f t="shared" ref="J24:N26" si="26">J17-J20</f>
        <v>1389.0144638900001</v>
      </c>
      <c r="K24" s="16">
        <f t="shared" si="26"/>
        <v>0</v>
      </c>
      <c r="L24" s="16">
        <f t="shared" si="26"/>
        <v>0</v>
      </c>
      <c r="M24" s="16">
        <f t="shared" si="26"/>
        <v>2576.5194200599999</v>
      </c>
      <c r="N24" s="16">
        <f t="shared" si="26"/>
        <v>712.14030584167335</v>
      </c>
      <c r="O24" s="16">
        <f t="shared" si="3"/>
        <v>0</v>
      </c>
      <c r="P24" s="16">
        <f t="shared" ref="P24:R26" si="27">P17-P20</f>
        <v>0</v>
      </c>
      <c r="Q24" s="16">
        <f t="shared" si="27"/>
        <v>0</v>
      </c>
      <c r="R24" s="16">
        <f t="shared" si="27"/>
        <v>1062.12991934</v>
      </c>
      <c r="S24" s="13"/>
      <c r="T24" s="16">
        <f t="shared" si="5"/>
        <v>399.21970360146901</v>
      </c>
      <c r="U24" s="16">
        <f t="shared" ref="U24:AQ26" si="28">U17-U20</f>
        <v>0</v>
      </c>
      <c r="V24" s="16">
        <f t="shared" si="28"/>
        <v>0</v>
      </c>
      <c r="W24" s="16">
        <f t="shared" si="28"/>
        <v>199.96640726999999</v>
      </c>
      <c r="X24" s="16">
        <f t="shared" si="28"/>
        <v>199.96640727000005</v>
      </c>
      <c r="Y24" s="16">
        <f t="shared" si="28"/>
        <v>0</v>
      </c>
      <c r="Z24" s="16">
        <f t="shared" si="28"/>
        <v>1.000000082740371E-8</v>
      </c>
      <c r="AA24" s="16">
        <f t="shared" si="28"/>
        <v>0</v>
      </c>
      <c r="AB24" s="16">
        <f t="shared" si="28"/>
        <v>0</v>
      </c>
      <c r="AC24" s="16">
        <f t="shared" si="28"/>
        <v>9.9999972746900312E-9</v>
      </c>
      <c r="AD24" s="16">
        <f t="shared" si="28"/>
        <v>0</v>
      </c>
      <c r="AE24" s="16">
        <f t="shared" si="28"/>
        <v>0</v>
      </c>
      <c r="AF24" s="16">
        <f t="shared" si="28"/>
        <v>0</v>
      </c>
      <c r="AG24" s="16">
        <f t="shared" si="28"/>
        <v>0</v>
      </c>
      <c r="AH24" s="16">
        <f t="shared" si="28"/>
        <v>1.4690328953292919E-9</v>
      </c>
      <c r="AI24" s="16">
        <f t="shared" si="28"/>
        <v>6.6731592000000006</v>
      </c>
      <c r="AJ24" s="16">
        <f t="shared" si="28"/>
        <v>0</v>
      </c>
      <c r="AK24" s="16">
        <f t="shared" si="28"/>
        <v>0</v>
      </c>
      <c r="AL24" s="16">
        <f t="shared" si="28"/>
        <v>0</v>
      </c>
      <c r="AM24" s="16">
        <f t="shared" si="28"/>
        <v>0</v>
      </c>
      <c r="AN24" s="16">
        <f t="shared" si="28"/>
        <v>0</v>
      </c>
      <c r="AO24" s="16">
        <f t="shared" si="28"/>
        <v>0</v>
      </c>
      <c r="AP24" s="16">
        <f t="shared" si="28"/>
        <v>0</v>
      </c>
      <c r="AQ24" s="16">
        <f t="shared" si="28"/>
        <v>192.58013711999996</v>
      </c>
    </row>
    <row r="25" spans="1:44" outlineLevel="1">
      <c r="A25" s="14" t="s">
        <v>87</v>
      </c>
      <c r="B25" s="52" t="s">
        <v>77</v>
      </c>
      <c r="C25" s="16">
        <f>D25+E25</f>
        <v>10088.307033519999</v>
      </c>
      <c r="D25" s="16">
        <f t="shared" si="24"/>
        <v>2547.92663803</v>
      </c>
      <c r="E25" s="16">
        <f t="shared" si="24"/>
        <v>7540.3803954899995</v>
      </c>
      <c r="F25" s="16">
        <f>G25+H25</f>
        <v>3096.4087255900004</v>
      </c>
      <c r="G25" s="16">
        <f t="shared" si="25"/>
        <v>1733.4370350700001</v>
      </c>
      <c r="H25" s="16">
        <f t="shared" si="25"/>
        <v>1362.97169052</v>
      </c>
      <c r="I25" s="16">
        <f t="shared" si="1"/>
        <v>1105.90010723</v>
      </c>
      <c r="J25" s="16">
        <f t="shared" si="26"/>
        <v>1105.90010723</v>
      </c>
      <c r="K25" s="16">
        <f t="shared" si="26"/>
        <v>0</v>
      </c>
      <c r="L25" s="16">
        <f t="shared" si="26"/>
        <v>0</v>
      </c>
      <c r="M25" s="16">
        <f t="shared" si="26"/>
        <v>2576.5194200599999</v>
      </c>
      <c r="N25" s="16">
        <f t="shared" si="26"/>
        <v>712.14030584167335</v>
      </c>
      <c r="O25" s="16">
        <f t="shared" si="3"/>
        <v>0</v>
      </c>
      <c r="P25" s="16">
        <f t="shared" si="27"/>
        <v>0</v>
      </c>
      <c r="Q25" s="16">
        <f t="shared" si="27"/>
        <v>0</v>
      </c>
      <c r="R25" s="16">
        <f t="shared" si="27"/>
        <v>1062.12991934</v>
      </c>
      <c r="S25" s="13"/>
      <c r="T25" s="16">
        <f t="shared" si="5"/>
        <v>1.4690328953292919E-9</v>
      </c>
      <c r="U25" s="16">
        <f>U18-U21</f>
        <v>0</v>
      </c>
      <c r="V25" s="16">
        <f>V18-V21</f>
        <v>0</v>
      </c>
      <c r="W25" s="16">
        <f t="shared" si="6"/>
        <v>0</v>
      </c>
      <c r="X25" s="16">
        <f>X18-X21</f>
        <v>0</v>
      </c>
      <c r="Y25" s="16">
        <f>Y18-Y21</f>
        <v>0</v>
      </c>
      <c r="Z25" s="16">
        <f t="shared" si="7"/>
        <v>0</v>
      </c>
      <c r="AA25" s="16">
        <f t="shared" si="28"/>
        <v>0</v>
      </c>
      <c r="AB25" s="16">
        <f t="shared" si="28"/>
        <v>0</v>
      </c>
      <c r="AC25" s="16">
        <f t="shared" si="28"/>
        <v>0</v>
      </c>
      <c r="AD25" s="16">
        <f t="shared" si="28"/>
        <v>0</v>
      </c>
      <c r="AE25" s="16">
        <f t="shared" si="9"/>
        <v>0</v>
      </c>
      <c r="AF25" s="16">
        <f t="shared" si="28"/>
        <v>0</v>
      </c>
      <c r="AG25" s="16">
        <f t="shared" si="28"/>
        <v>0</v>
      </c>
      <c r="AH25" s="16">
        <f t="shared" si="28"/>
        <v>1.4690328953292919E-9</v>
      </c>
      <c r="AI25" s="16">
        <f t="shared" si="28"/>
        <v>0</v>
      </c>
      <c r="AJ25" s="16">
        <f t="shared" si="28"/>
        <v>0</v>
      </c>
      <c r="AK25" s="16">
        <f t="shared" si="28"/>
        <v>0</v>
      </c>
      <c r="AL25" s="16">
        <f t="shared" si="28"/>
        <v>0</v>
      </c>
      <c r="AM25" s="16">
        <f t="shared" si="28"/>
        <v>0</v>
      </c>
      <c r="AN25" s="16">
        <f t="shared" si="28"/>
        <v>0</v>
      </c>
      <c r="AO25" s="16">
        <f t="shared" si="28"/>
        <v>0</v>
      </c>
      <c r="AP25" s="16">
        <f t="shared" si="28"/>
        <v>0</v>
      </c>
      <c r="AQ25" s="16">
        <f t="shared" si="28"/>
        <v>0</v>
      </c>
    </row>
    <row r="26" spans="1:44" outlineLevel="1">
      <c r="A26" s="14" t="s">
        <v>88</v>
      </c>
      <c r="B26" s="52" t="s">
        <v>79</v>
      </c>
      <c r="C26" s="16">
        <f t="shared" si="10"/>
        <v>-2.0000015865662135E-8</v>
      </c>
      <c r="D26" s="16">
        <f t="shared" si="24"/>
        <v>0</v>
      </c>
      <c r="E26" s="16">
        <f t="shared" si="24"/>
        <v>-2.0000015865662135E-8</v>
      </c>
      <c r="F26" s="16">
        <f t="shared" si="0"/>
        <v>0</v>
      </c>
      <c r="G26" s="16">
        <f t="shared" si="25"/>
        <v>0</v>
      </c>
      <c r="H26" s="16">
        <f t="shared" si="25"/>
        <v>0</v>
      </c>
      <c r="I26" s="16">
        <f t="shared" si="1"/>
        <v>283.11435698000008</v>
      </c>
      <c r="J26" s="16">
        <f t="shared" si="26"/>
        <v>283.11435698000008</v>
      </c>
      <c r="K26" s="16">
        <f t="shared" si="26"/>
        <v>0</v>
      </c>
      <c r="L26" s="16">
        <f t="shared" si="26"/>
        <v>0</v>
      </c>
      <c r="M26" s="16">
        <f t="shared" si="26"/>
        <v>0</v>
      </c>
      <c r="N26" s="16">
        <f t="shared" si="26"/>
        <v>0</v>
      </c>
      <c r="O26" s="16">
        <f t="shared" si="3"/>
        <v>0</v>
      </c>
      <c r="P26" s="16">
        <f t="shared" si="27"/>
        <v>0</v>
      </c>
      <c r="Q26" s="16">
        <f t="shared" si="27"/>
        <v>0</v>
      </c>
      <c r="R26" s="16">
        <f t="shared" si="27"/>
        <v>0</v>
      </c>
      <c r="S26" s="13"/>
      <c r="T26" s="16">
        <f t="shared" si="5"/>
        <v>399.2197036</v>
      </c>
      <c r="U26" s="16">
        <f>U19-U22</f>
        <v>0</v>
      </c>
      <c r="V26" s="16">
        <f>V19-V22</f>
        <v>0</v>
      </c>
      <c r="W26" s="16">
        <f t="shared" si="6"/>
        <v>199.96640727000005</v>
      </c>
      <c r="X26" s="16">
        <f>X19-X22</f>
        <v>199.96640727000005</v>
      </c>
      <c r="Y26" s="16">
        <f>Y19-Y22</f>
        <v>0</v>
      </c>
      <c r="Z26" s="16">
        <f t="shared" si="7"/>
        <v>9.9999972746900312E-9</v>
      </c>
      <c r="AA26" s="16">
        <f t="shared" si="28"/>
        <v>0</v>
      </c>
      <c r="AB26" s="16">
        <f t="shared" si="28"/>
        <v>0</v>
      </c>
      <c r="AC26" s="16">
        <f t="shared" si="28"/>
        <v>9.9999972746900312E-9</v>
      </c>
      <c r="AD26" s="16">
        <f t="shared" si="28"/>
        <v>0</v>
      </c>
      <c r="AE26" s="16">
        <f t="shared" si="9"/>
        <v>0</v>
      </c>
      <c r="AF26" s="16">
        <f t="shared" si="28"/>
        <v>0</v>
      </c>
      <c r="AG26" s="16">
        <f t="shared" si="28"/>
        <v>0</v>
      </c>
      <c r="AH26" s="16">
        <f t="shared" si="28"/>
        <v>0</v>
      </c>
      <c r="AI26" s="16">
        <f t="shared" si="28"/>
        <v>6.6731592000000006</v>
      </c>
      <c r="AJ26" s="16">
        <f t="shared" si="28"/>
        <v>0</v>
      </c>
      <c r="AK26" s="16">
        <f t="shared" si="28"/>
        <v>0</v>
      </c>
      <c r="AL26" s="16">
        <f t="shared" si="28"/>
        <v>0</v>
      </c>
      <c r="AM26" s="16">
        <f t="shared" si="28"/>
        <v>0</v>
      </c>
      <c r="AN26" s="16">
        <f t="shared" si="28"/>
        <v>0</v>
      </c>
      <c r="AO26" s="16">
        <f t="shared" si="28"/>
        <v>0</v>
      </c>
      <c r="AP26" s="16">
        <f t="shared" si="28"/>
        <v>0</v>
      </c>
      <c r="AQ26" s="16">
        <f t="shared" si="28"/>
        <v>192.58013711999996</v>
      </c>
    </row>
    <row r="27" spans="1:44">
      <c r="A27" s="14" t="s">
        <v>89</v>
      </c>
      <c r="B27" s="53" t="s">
        <v>90</v>
      </c>
      <c r="C27" s="19">
        <f t="shared" si="10"/>
        <v>-4.3104041771003665</v>
      </c>
      <c r="D27" s="19">
        <f>-(D8+D9-D13-D20+D33)</f>
        <v>-4.3104041771003381</v>
      </c>
      <c r="E27" s="19">
        <f>-(E8+E9-E13-E20+E33)</f>
        <v>-2.8421709430404007E-14</v>
      </c>
      <c r="F27" s="19">
        <f t="shared" si="0"/>
        <v>-442.30261455060042</v>
      </c>
      <c r="G27" s="19">
        <f>-(G8+G9-G13-G20+G33)</f>
        <v>-254.9643409506009</v>
      </c>
      <c r="H27" s="19">
        <f>-(H8+H9-H13-H20+H33)</f>
        <v>-187.33827359999955</v>
      </c>
      <c r="I27" s="19">
        <f t="shared" si="1"/>
        <v>-61.806345399999501</v>
      </c>
      <c r="J27" s="19">
        <f>-(J8+J9-J13-J20+J33)</f>
        <v>-3.8937509999995541</v>
      </c>
      <c r="K27" s="19">
        <f>-(K8+K9-K13-K20+K33)</f>
        <v>1.9999998679409714E-7</v>
      </c>
      <c r="L27" s="19">
        <f>-(L8+L9-L13-L20+L33)</f>
        <v>-57.912594599999935</v>
      </c>
      <c r="M27" s="19">
        <f>-(M8+M9-M13-M20+M33)</f>
        <v>3.5527136788005009E-13</v>
      </c>
      <c r="N27" s="19">
        <f>-(N8+N9-N13-N20+N33)</f>
        <v>9.9475983006414026E-14</v>
      </c>
      <c r="O27" s="19">
        <f t="shared" si="3"/>
        <v>-6.8167693711984612E-14</v>
      </c>
      <c r="P27" s="19">
        <f>-(P8+P9-P13-P20+P33)</f>
        <v>-6.6613381477509392E-16</v>
      </c>
      <c r="Q27" s="19">
        <f>-(Q8+Q9-Q13-Q20+Q33)</f>
        <v>-6.7501559897209518E-14</v>
      </c>
      <c r="R27" s="19">
        <f>-(R8+R9-R13-R20+R33)</f>
        <v>-12.925382369999999</v>
      </c>
      <c r="S27" s="13"/>
      <c r="T27" s="19">
        <f t="shared" si="5"/>
        <v>-177.47084645146884</v>
      </c>
      <c r="U27" s="19">
        <f t="shared" ref="U27:V27" si="29">-(U8+U9-U13-U20+U33)</f>
        <v>3.0000010000222233E-2</v>
      </c>
      <c r="V27" s="19">
        <f t="shared" si="29"/>
        <v>-1.0000050565395213E-8</v>
      </c>
      <c r="W27" s="19">
        <f t="shared" si="6"/>
        <v>-78.926890419999864</v>
      </c>
      <c r="X27" s="19">
        <f t="shared" ref="X27:Y27" si="30">-(X8+X9-X13-X20+X33)</f>
        <v>1.0000093197959359E-8</v>
      </c>
      <c r="Y27" s="19">
        <f t="shared" si="30"/>
        <v>-78.926890429999958</v>
      </c>
      <c r="Z27" s="19">
        <f t="shared" si="7"/>
        <v>-11.954854990000012</v>
      </c>
      <c r="AA27" s="19">
        <f t="shared" ref="AA27:AD27" si="31">-(AA8+AA9-AA13-AA20+AA33)</f>
        <v>-3.3522876900000065</v>
      </c>
      <c r="AB27" s="19">
        <f t="shared" si="31"/>
        <v>9.9999883929058342E-9</v>
      </c>
      <c r="AC27" s="19">
        <f t="shared" si="31"/>
        <v>-8.6025673099999942</v>
      </c>
      <c r="AD27" s="19">
        <f t="shared" si="31"/>
        <v>-1.1368683772161603E-13</v>
      </c>
      <c r="AE27" s="19">
        <f t="shared" si="9"/>
        <v>-68.966704459999931</v>
      </c>
      <c r="AF27" s="19">
        <f t="shared" ref="AF27:AQ27" si="32">-(AF8+AF9-AF13-AF20+AF33)</f>
        <v>-65.325427569999931</v>
      </c>
      <c r="AG27" s="19">
        <f t="shared" si="32"/>
        <v>-3.6412768900000003</v>
      </c>
      <c r="AH27" s="19">
        <f t="shared" si="32"/>
        <v>-1.4690151317608979E-9</v>
      </c>
      <c r="AI27" s="19">
        <f t="shared" si="32"/>
        <v>-8.6427750000001635E-2</v>
      </c>
      <c r="AJ27" s="19">
        <f t="shared" si="32"/>
        <v>-11.597220629999976</v>
      </c>
      <c r="AK27" s="19">
        <f t="shared" si="32"/>
        <v>-5.0281812100000138</v>
      </c>
      <c r="AL27" s="19">
        <f t="shared" si="32"/>
        <v>-2.0000008760234778E-8</v>
      </c>
      <c r="AM27" s="19">
        <f t="shared" si="32"/>
        <v>0</v>
      </c>
      <c r="AN27" s="19">
        <f t="shared" si="32"/>
        <v>-0.940566970000003</v>
      </c>
      <c r="AO27" s="19">
        <f t="shared" si="32"/>
        <v>-2.6645352591003757E-15</v>
      </c>
      <c r="AP27" s="19">
        <f t="shared" si="32"/>
        <v>-17.335761450000053</v>
      </c>
      <c r="AQ27" s="19">
        <f t="shared" si="32"/>
        <v>-5.6843418860808015E-14</v>
      </c>
    </row>
    <row r="28" spans="1:44">
      <c r="A28" s="14" t="s">
        <v>91</v>
      </c>
      <c r="B28" s="53" t="s">
        <v>92</v>
      </c>
      <c r="C28" s="19">
        <f t="shared" si="10"/>
        <v>0</v>
      </c>
      <c r="D28" s="16">
        <v>0</v>
      </c>
      <c r="E28" s="16">
        <v>0</v>
      </c>
      <c r="F28" s="19">
        <f t="shared" si="0"/>
        <v>0</v>
      </c>
      <c r="G28" s="16">
        <v>0</v>
      </c>
      <c r="H28" s="16">
        <v>0</v>
      </c>
      <c r="I28" s="16">
        <f t="shared" si="1"/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9">
        <f t="shared" si="3"/>
        <v>0</v>
      </c>
      <c r="P28" s="16">
        <v>0</v>
      </c>
      <c r="Q28" s="16">
        <v>0</v>
      </c>
      <c r="R28" s="16">
        <v>0</v>
      </c>
      <c r="S28" s="13"/>
      <c r="T28" s="16">
        <f t="shared" si="5"/>
        <v>0</v>
      </c>
      <c r="U28" s="16">
        <v>0</v>
      </c>
      <c r="V28" s="16">
        <v>0</v>
      </c>
      <c r="W28" s="19">
        <f t="shared" si="6"/>
        <v>0</v>
      </c>
      <c r="X28" s="16">
        <v>0</v>
      </c>
      <c r="Y28" s="16">
        <v>0</v>
      </c>
      <c r="Z28" s="19">
        <f t="shared" si="7"/>
        <v>0</v>
      </c>
      <c r="AA28" s="16">
        <v>0</v>
      </c>
      <c r="AB28" s="16">
        <v>0</v>
      </c>
      <c r="AC28" s="16">
        <v>0</v>
      </c>
      <c r="AD28" s="16">
        <v>0</v>
      </c>
      <c r="AE28" s="19">
        <f t="shared" si="9"/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  <c r="AK28" s="16">
        <v>0</v>
      </c>
      <c r="AL28" s="16">
        <v>0</v>
      </c>
      <c r="AM28" s="16">
        <v>0</v>
      </c>
      <c r="AN28" s="16">
        <v>0</v>
      </c>
      <c r="AO28" s="16">
        <v>0</v>
      </c>
      <c r="AP28" s="16">
        <v>0</v>
      </c>
      <c r="AQ28" s="16">
        <v>0</v>
      </c>
    </row>
    <row r="29" spans="1:44">
      <c r="A29" s="10">
        <v>5</v>
      </c>
      <c r="B29" s="11" t="s">
        <v>93</v>
      </c>
      <c r="C29" s="12">
        <f t="shared" si="10"/>
        <v>-11316.966396716976</v>
      </c>
      <c r="D29" s="12">
        <f>SUM(D30:D32)</f>
        <v>-3400.1165729966601</v>
      </c>
      <c r="E29" s="12">
        <f t="shared" ref="E29:AQ29" si="33">SUM(E30:E32)</f>
        <v>-7916.8498237203166</v>
      </c>
      <c r="F29" s="12">
        <f t="shared" si="0"/>
        <v>-2436.9754323404168</v>
      </c>
      <c r="G29" s="12">
        <f t="shared" si="33"/>
        <v>-819.75997962126166</v>
      </c>
      <c r="H29" s="12">
        <f t="shared" si="33"/>
        <v>-1617.2154527191553</v>
      </c>
      <c r="I29" s="12">
        <f t="shared" si="1"/>
        <v>-1822.3149041078327</v>
      </c>
      <c r="J29" s="12">
        <f t="shared" si="33"/>
        <v>-1731.83451590251</v>
      </c>
      <c r="K29" s="12">
        <f t="shared" si="33"/>
        <v>-3.7158752199999996</v>
      </c>
      <c r="L29" s="12">
        <f t="shared" si="33"/>
        <v>-86.76451298532254</v>
      </c>
      <c r="M29" s="12">
        <f>SUM(M30:M32)</f>
        <v>-3422.3860602129325</v>
      </c>
      <c r="N29" s="12">
        <f>SUM(N30:N32)</f>
        <v>-1108.9749286698402</v>
      </c>
      <c r="O29" s="12">
        <f t="shared" si="3"/>
        <v>-164.6736693293885</v>
      </c>
      <c r="P29" s="12">
        <f t="shared" ref="P29:R29" si="34">SUM(P30:P32)</f>
        <v>-1.6807454799999999</v>
      </c>
      <c r="Q29" s="12">
        <f t="shared" si="34"/>
        <v>-162.99292384938849</v>
      </c>
      <c r="R29" s="12">
        <f t="shared" si="34"/>
        <v>-1132.97413572391</v>
      </c>
      <c r="S29" s="13"/>
      <c r="T29" s="12">
        <f t="shared" si="5"/>
        <v>-485.04075013663135</v>
      </c>
      <c r="U29" s="12">
        <f t="shared" si="33"/>
        <v>-195.76916167400003</v>
      </c>
      <c r="V29" s="12">
        <f t="shared" si="33"/>
        <v>-44.944529083839939</v>
      </c>
      <c r="W29" s="12">
        <f t="shared" si="6"/>
        <v>-80.320999870000009</v>
      </c>
      <c r="X29" s="12">
        <f t="shared" si="33"/>
        <v>-58.173358100000002</v>
      </c>
      <c r="Y29" s="12">
        <f t="shared" si="33"/>
        <v>-22.14764177</v>
      </c>
      <c r="Z29" s="12">
        <f t="shared" si="7"/>
        <v>-17.419437729191454</v>
      </c>
      <c r="AA29" s="12">
        <f t="shared" si="33"/>
        <v>-3.7913024522954761</v>
      </c>
      <c r="AB29" s="12">
        <f t="shared" si="33"/>
        <v>-12.48345647070397</v>
      </c>
      <c r="AC29" s="12">
        <f t="shared" si="33"/>
        <v>-1.1446788061920072</v>
      </c>
      <c r="AD29" s="12">
        <f t="shared" si="33"/>
        <v>-10.337010999999984</v>
      </c>
      <c r="AE29" s="12">
        <f t="shared" si="9"/>
        <v>-73.628981233599987</v>
      </c>
      <c r="AF29" s="12">
        <f t="shared" si="33"/>
        <v>-68.779817369999989</v>
      </c>
      <c r="AG29" s="12">
        <f t="shared" si="33"/>
        <v>-4.849163863600003</v>
      </c>
      <c r="AH29" s="12">
        <f t="shared" si="33"/>
        <v>-39.793392568000044</v>
      </c>
      <c r="AI29" s="12">
        <f>SUM(AI30:AI32)</f>
        <v>-0.48598696000000002</v>
      </c>
      <c r="AJ29" s="12">
        <f t="shared" si="33"/>
        <v>-10.028670725999996</v>
      </c>
      <c r="AK29" s="12">
        <f t="shared" si="33"/>
        <v>-3.4065034999999995</v>
      </c>
      <c r="AL29" s="12">
        <f t="shared" si="33"/>
        <v>-6.5952610519999979</v>
      </c>
      <c r="AM29" s="12">
        <f t="shared" si="33"/>
        <v>0</v>
      </c>
      <c r="AN29" s="12">
        <f t="shared" si="33"/>
        <v>-1.09650268</v>
      </c>
      <c r="AO29" s="12">
        <f t="shared" si="33"/>
        <v>-1.2143120600000001</v>
      </c>
      <c r="AP29" s="12">
        <f t="shared" si="33"/>
        <v>-18.938141699999999</v>
      </c>
      <c r="AQ29" s="12">
        <f t="shared" si="33"/>
        <v>0</v>
      </c>
    </row>
    <row r="30" spans="1:44">
      <c r="A30" s="14" t="s">
        <v>94</v>
      </c>
      <c r="B30" s="53" t="s">
        <v>95</v>
      </c>
      <c r="C30" s="19">
        <f t="shared" si="10"/>
        <v>-10404.741733867901</v>
      </c>
      <c r="D30" s="19">
        <v>-2823.0876602679004</v>
      </c>
      <c r="E30" s="19">
        <v>-7581.6540736000006</v>
      </c>
      <c r="F30" s="19">
        <f t="shared" si="0"/>
        <v>-1362.9716906900001</v>
      </c>
      <c r="G30" s="19">
        <v>0</v>
      </c>
      <c r="H30" s="19">
        <v>-1362.9716906900001</v>
      </c>
      <c r="I30" s="19">
        <f t="shared" si="1"/>
        <v>-1204.0264348799999</v>
      </c>
      <c r="J30" s="19">
        <v>-1204.0264348799999</v>
      </c>
      <c r="K30" s="19">
        <v>0</v>
      </c>
      <c r="L30" s="19">
        <v>0</v>
      </c>
      <c r="M30" s="19">
        <v>-2797.9742011499998</v>
      </c>
      <c r="N30" s="19">
        <v>-901.60585837999997</v>
      </c>
      <c r="O30" s="19">
        <f t="shared" si="3"/>
        <v>0</v>
      </c>
      <c r="P30" s="19">
        <v>0</v>
      </c>
      <c r="Q30" s="19">
        <v>0</v>
      </c>
      <c r="R30" s="19">
        <v>-1069.3385795300001</v>
      </c>
      <c r="S30" s="13"/>
      <c r="T30" s="19">
        <f t="shared" si="5"/>
        <v>-19.153776180000001</v>
      </c>
      <c r="U30" s="19">
        <v>0</v>
      </c>
      <c r="V30" s="19">
        <v>0</v>
      </c>
      <c r="W30" s="19">
        <f t="shared" si="6"/>
        <v>0</v>
      </c>
      <c r="X30" s="19">
        <v>0</v>
      </c>
      <c r="Y30" s="19">
        <v>0</v>
      </c>
      <c r="Z30" s="19">
        <f t="shared" si="7"/>
        <v>0</v>
      </c>
      <c r="AA30" s="19">
        <v>0</v>
      </c>
      <c r="AB30" s="19">
        <v>0</v>
      </c>
      <c r="AC30" s="19">
        <v>0</v>
      </c>
      <c r="AD30" s="19">
        <v>0</v>
      </c>
      <c r="AE30" s="19">
        <f t="shared" si="9"/>
        <v>0</v>
      </c>
      <c r="AF30" s="19">
        <v>0</v>
      </c>
      <c r="AG30" s="19">
        <v>0</v>
      </c>
      <c r="AH30" s="19">
        <v>-19.153776180000001</v>
      </c>
      <c r="AI30" s="19">
        <v>0</v>
      </c>
      <c r="AJ30" s="19">
        <v>0</v>
      </c>
      <c r="AK30" s="19">
        <v>0</v>
      </c>
      <c r="AL30" s="19">
        <v>0</v>
      </c>
      <c r="AM30" s="19">
        <v>0</v>
      </c>
      <c r="AN30" s="19">
        <v>0</v>
      </c>
      <c r="AO30" s="19">
        <v>0</v>
      </c>
      <c r="AP30" s="19">
        <v>0</v>
      </c>
      <c r="AQ30" s="19">
        <v>0</v>
      </c>
    </row>
    <row r="31" spans="1:44">
      <c r="A31" s="14" t="s">
        <v>96</v>
      </c>
      <c r="B31" s="53" t="s">
        <v>97</v>
      </c>
      <c r="C31" s="19">
        <f t="shared" si="10"/>
        <v>-578.27834158062183</v>
      </c>
      <c r="D31" s="19">
        <f>-D10*0.95*0.8</f>
        <v>-327.63563453382176</v>
      </c>
      <c r="E31" s="19">
        <f>-E10*0.95*0.8</f>
        <v>-250.64270704680004</v>
      </c>
      <c r="F31" s="19">
        <f t="shared" si="0"/>
        <v>-785.72695871189603</v>
      </c>
      <c r="G31" s="19">
        <f>-G10*0.95*0.8</f>
        <v>-591.95632580619861</v>
      </c>
      <c r="H31" s="19">
        <f>-H10*0.95*0.8</f>
        <v>-193.77063290569743</v>
      </c>
      <c r="I31" s="19">
        <f t="shared" si="1"/>
        <v>-470.22463742044107</v>
      </c>
      <c r="J31" s="19">
        <f>-J10*0.95*0.8</f>
        <v>-409.44322840238465</v>
      </c>
      <c r="K31" s="19">
        <f>-K10*0.95*0.8</f>
        <v>0</v>
      </c>
      <c r="L31" s="19">
        <f>-L10*0.95*0.8</f>
        <v>-60.781409018056415</v>
      </c>
      <c r="M31" s="19">
        <f>-M10*0.95*0.8</f>
        <v>-492.7816342842861</v>
      </c>
      <c r="N31" s="19">
        <f>-N10*0.95*0.8</f>
        <v>-135.02012304434817</v>
      </c>
      <c r="O31" s="19">
        <f t="shared" si="3"/>
        <v>-130.07237277291907</v>
      </c>
      <c r="P31" s="19">
        <f>-P10*0.95*0.8</f>
        <v>0</v>
      </c>
      <c r="Q31" s="19">
        <f>-Q10*0.95*0.8</f>
        <v>-130.07237277291907</v>
      </c>
      <c r="R31" s="19">
        <f>-R10*0.95*0.8</f>
        <v>-58.171035990714472</v>
      </c>
      <c r="S31" s="13"/>
      <c r="T31" s="19">
        <f t="shared" si="5"/>
        <v>-128.09918504579989</v>
      </c>
      <c r="U31" s="19">
        <f>-U10*0.95*0.8</f>
        <v>-107.66172109080003</v>
      </c>
      <c r="V31" s="19">
        <f>-V10*0.95*0.8</f>
        <v>-4.096257731647948</v>
      </c>
      <c r="W31" s="19">
        <f t="shared" si="6"/>
        <v>0</v>
      </c>
      <c r="X31" s="19">
        <f>-X10*0.95*0.8</f>
        <v>0</v>
      </c>
      <c r="Y31" s="19">
        <f>-Y10*0.95*0.8</f>
        <v>0</v>
      </c>
      <c r="Z31" s="19">
        <f t="shared" si="7"/>
        <v>-3.3484006842318825</v>
      </c>
      <c r="AA31" s="19">
        <f>-AA10*0.95*0.8</f>
        <v>-0.41706404318070212</v>
      </c>
      <c r="AB31" s="19">
        <f>-AB10*0.95*0.8</f>
        <v>-1.8438917751687733</v>
      </c>
      <c r="AC31" s="19">
        <f>-AC10*0.95*0.8</f>
        <v>-1.087444865882407</v>
      </c>
      <c r="AD31" s="19">
        <f>-AD10*0.95*0.8</f>
        <v>-9.8201604499999853</v>
      </c>
      <c r="AE31" s="19">
        <f t="shared" si="9"/>
        <v>-0.49674689992000343</v>
      </c>
      <c r="AF31" s="19">
        <f t="shared" ref="AF31:AQ31" si="35">-AF10*0.95*0.8</f>
        <v>0</v>
      </c>
      <c r="AG31" s="19">
        <f t="shared" si="35"/>
        <v>-0.49674689992000343</v>
      </c>
      <c r="AH31" s="19">
        <f t="shared" si="35"/>
        <v>-1.4115481976000341</v>
      </c>
      <c r="AI31" s="19">
        <f t="shared" si="35"/>
        <v>0</v>
      </c>
      <c r="AJ31" s="19">
        <f t="shared" si="35"/>
        <v>-0.85909512319999581</v>
      </c>
      <c r="AK31" s="19">
        <f t="shared" si="35"/>
        <v>0</v>
      </c>
      <c r="AL31" s="19">
        <f t="shared" si="35"/>
        <v>-0.4052548683999973</v>
      </c>
      <c r="AM31" s="19">
        <f t="shared" si="35"/>
        <v>0</v>
      </c>
      <c r="AN31" s="19">
        <f t="shared" si="35"/>
        <v>0</v>
      </c>
      <c r="AO31" s="19">
        <f t="shared" si="35"/>
        <v>0</v>
      </c>
      <c r="AP31" s="19">
        <f t="shared" si="35"/>
        <v>0</v>
      </c>
      <c r="AQ31" s="19">
        <f t="shared" si="35"/>
        <v>0</v>
      </c>
    </row>
    <row r="32" spans="1:44">
      <c r="A32" s="14" t="s">
        <v>98</v>
      </c>
      <c r="B32" s="53" t="s">
        <v>99</v>
      </c>
      <c r="C32" s="19">
        <f t="shared" si="10"/>
        <v>-333.94632126845386</v>
      </c>
      <c r="D32" s="16">
        <f>SUM(D33:D34)</f>
        <v>-249.39327819493803</v>
      </c>
      <c r="E32" s="16">
        <f>SUM(E33:E34)</f>
        <v>-84.553043073515795</v>
      </c>
      <c r="F32" s="19">
        <f t="shared" si="0"/>
        <v>-288.27678293852085</v>
      </c>
      <c r="G32" s="16">
        <f t="shared" ref="G32:AQ32" si="36">SUM(G33:G34)</f>
        <v>-227.80365381506309</v>
      </c>
      <c r="H32" s="16">
        <f t="shared" si="36"/>
        <v>-60.473129123457767</v>
      </c>
      <c r="I32" s="16">
        <f t="shared" si="1"/>
        <v>-148.06383180739164</v>
      </c>
      <c r="J32" s="16">
        <f t="shared" si="36"/>
        <v>-118.3648526201255</v>
      </c>
      <c r="K32" s="16">
        <f t="shared" si="36"/>
        <v>-3.7158752199999996</v>
      </c>
      <c r="L32" s="16">
        <f t="shared" si="36"/>
        <v>-25.983103967266132</v>
      </c>
      <c r="M32" s="16">
        <f>SUM(M33:M34)</f>
        <v>-131.63022477864664</v>
      </c>
      <c r="N32" s="16">
        <f>SUM(N33:N34)</f>
        <v>-72.348947245492013</v>
      </c>
      <c r="O32" s="19">
        <f t="shared" si="3"/>
        <v>-34.601296556469421</v>
      </c>
      <c r="P32" s="16">
        <f t="shared" ref="P32:R32" si="37">SUM(P33:P34)</f>
        <v>-1.6807454799999999</v>
      </c>
      <c r="Q32" s="16">
        <f t="shared" si="37"/>
        <v>-32.920551076469422</v>
      </c>
      <c r="R32" s="16">
        <f t="shared" si="37"/>
        <v>-5.4645202031954998</v>
      </c>
      <c r="S32" s="13"/>
      <c r="T32" s="16">
        <f t="shared" si="5"/>
        <v>-337.78778891083158</v>
      </c>
      <c r="U32" s="16">
        <f t="shared" si="36"/>
        <v>-88.107440583200017</v>
      </c>
      <c r="V32" s="16">
        <f t="shared" si="36"/>
        <v>-40.848271352191993</v>
      </c>
      <c r="W32" s="16">
        <f t="shared" si="6"/>
        <v>-80.320999870000009</v>
      </c>
      <c r="X32" s="16">
        <f t="shared" si="36"/>
        <v>-58.173358100000002</v>
      </c>
      <c r="Y32" s="16">
        <f t="shared" si="36"/>
        <v>-22.14764177</v>
      </c>
      <c r="Z32" s="16">
        <f t="shared" si="7"/>
        <v>-14.071037044959573</v>
      </c>
      <c r="AA32" s="16">
        <f t="shared" si="36"/>
        <v>-3.3742384091147741</v>
      </c>
      <c r="AB32" s="16">
        <f t="shared" si="36"/>
        <v>-10.639564695535197</v>
      </c>
      <c r="AC32" s="16">
        <f t="shared" si="36"/>
        <v>-5.7233940309600377E-2</v>
      </c>
      <c r="AD32" s="16">
        <f t="shared" si="36"/>
        <v>-0.51685054999999924</v>
      </c>
      <c r="AE32" s="16">
        <f t="shared" si="9"/>
        <v>-73.132234333679989</v>
      </c>
      <c r="AF32" s="16">
        <f t="shared" si="36"/>
        <v>-68.779817369999989</v>
      </c>
      <c r="AG32" s="16">
        <f t="shared" si="36"/>
        <v>-4.3524169636799996</v>
      </c>
      <c r="AH32" s="16">
        <f t="shared" si="36"/>
        <v>-19.228068190400005</v>
      </c>
      <c r="AI32" s="16">
        <f>SUM(AI33:AI34)</f>
        <v>-0.48598696000000002</v>
      </c>
      <c r="AJ32" s="16">
        <f t="shared" si="36"/>
        <v>-9.1695756028000002</v>
      </c>
      <c r="AK32" s="16">
        <f t="shared" si="36"/>
        <v>-3.4065034999999995</v>
      </c>
      <c r="AL32" s="16">
        <f t="shared" si="36"/>
        <v>-6.1900061836000004</v>
      </c>
      <c r="AM32" s="16">
        <f t="shared" si="36"/>
        <v>0</v>
      </c>
      <c r="AN32" s="16">
        <f t="shared" si="36"/>
        <v>-1.09650268</v>
      </c>
      <c r="AO32" s="16">
        <f t="shared" si="36"/>
        <v>-1.2143120600000001</v>
      </c>
      <c r="AP32" s="16">
        <f t="shared" si="36"/>
        <v>-18.938141699999999</v>
      </c>
      <c r="AQ32" s="16">
        <f t="shared" si="36"/>
        <v>0</v>
      </c>
    </row>
    <row r="33" spans="1:43" outlineLevel="1">
      <c r="A33" s="14" t="s">
        <v>100</v>
      </c>
      <c r="B33" s="52" t="s">
        <v>101</v>
      </c>
      <c r="C33" s="19">
        <f t="shared" si="10"/>
        <v>-303.51061908000008</v>
      </c>
      <c r="D33" s="16">
        <v>-232.14929743000005</v>
      </c>
      <c r="E33" s="16">
        <v>-71.361321650000008</v>
      </c>
      <c r="F33" s="19">
        <f t="shared" si="0"/>
        <v>-246.92273248000001</v>
      </c>
      <c r="G33" s="16">
        <v>-196.64805772</v>
      </c>
      <c r="H33" s="16">
        <v>-50.274674760000003</v>
      </c>
      <c r="I33" s="16">
        <f t="shared" si="1"/>
        <v>-123.31516668</v>
      </c>
      <c r="J33" s="16">
        <v>-96.815209019999998</v>
      </c>
      <c r="K33" s="16">
        <v>-3.7158752199999996</v>
      </c>
      <c r="L33" s="16">
        <v>-22.784082440000002</v>
      </c>
      <c r="M33" s="16">
        <v>-105.69434929000001</v>
      </c>
      <c r="N33" s="16">
        <v>-65.242624980000002</v>
      </c>
      <c r="O33" s="19">
        <f t="shared" si="3"/>
        <v>-27.755382199999996</v>
      </c>
      <c r="P33" s="16">
        <v>-1.6807454799999999</v>
      </c>
      <c r="Q33" s="16">
        <v>-26.074636719999997</v>
      </c>
      <c r="R33" s="16">
        <v>-2.4028867300000001</v>
      </c>
      <c r="S33" s="13"/>
      <c r="T33" s="16">
        <f t="shared" si="5"/>
        <v>-331.04572654000003</v>
      </c>
      <c r="U33" s="16">
        <v>-82.441034210000012</v>
      </c>
      <c r="V33" s="16">
        <v>-40.632678839999997</v>
      </c>
      <c r="W33" s="19">
        <f t="shared" si="6"/>
        <v>-80.320999870000009</v>
      </c>
      <c r="X33" s="16">
        <v>-58.173358100000002</v>
      </c>
      <c r="Y33" s="16">
        <v>-22.14764177</v>
      </c>
      <c r="Z33" s="19">
        <f t="shared" si="7"/>
        <v>-13.89480543</v>
      </c>
      <c r="AA33" s="16">
        <v>-3.3522876700000004</v>
      </c>
      <c r="AB33" s="16">
        <v>-10.542517759999999</v>
      </c>
      <c r="AC33" s="16">
        <v>0</v>
      </c>
      <c r="AD33" s="16">
        <v>0</v>
      </c>
      <c r="AE33" s="19">
        <f t="shared" si="9"/>
        <v>-73.106089759999989</v>
      </c>
      <c r="AF33" s="16">
        <v>-68.779817369999989</v>
      </c>
      <c r="AG33" s="16">
        <v>-4.3262723899999997</v>
      </c>
      <c r="AH33" s="16">
        <v>-19.153776180000005</v>
      </c>
      <c r="AI33" s="16">
        <v>-0.48598696000000002</v>
      </c>
      <c r="AJ33" s="16">
        <v>-9.1243600699999998</v>
      </c>
      <c r="AK33" s="16">
        <v>-3.4065034999999995</v>
      </c>
      <c r="AL33" s="16">
        <v>-6.1686769800000008</v>
      </c>
      <c r="AM33" s="16">
        <v>0</v>
      </c>
      <c r="AN33" s="16">
        <v>-1.09650268</v>
      </c>
      <c r="AO33" s="16">
        <v>-1.2143120600000001</v>
      </c>
      <c r="AP33" s="16">
        <v>-18.938141699999999</v>
      </c>
      <c r="AQ33" s="16">
        <v>0</v>
      </c>
    </row>
    <row r="34" spans="1:43" outlineLevel="1">
      <c r="A34" s="14" t="s">
        <v>102</v>
      </c>
      <c r="B34" s="52" t="s">
        <v>103</v>
      </c>
      <c r="C34" s="19">
        <f t="shared" si="10"/>
        <v>-30.435702188453782</v>
      </c>
      <c r="D34" s="16">
        <f>-D10*0.05*0.8</f>
        <v>-17.243980764937987</v>
      </c>
      <c r="E34" s="16">
        <f>-E10*0.05*0.8</f>
        <v>-13.191721423515794</v>
      </c>
      <c r="F34" s="19">
        <f t="shared" si="0"/>
        <v>-41.354050458520845</v>
      </c>
      <c r="G34" s="16">
        <f>-G10*0.05*0.8</f>
        <v>-31.155596095063085</v>
      </c>
      <c r="H34" s="16">
        <f>-H10*0.05*0.8</f>
        <v>-10.19845436345776</v>
      </c>
      <c r="I34" s="16">
        <f t="shared" si="1"/>
        <v>-24.748665127391639</v>
      </c>
      <c r="J34" s="16">
        <f>-J10*0.05*0.8</f>
        <v>-21.549643600125513</v>
      </c>
      <c r="K34" s="16">
        <f>-K10*0.05*0.8</f>
        <v>0</v>
      </c>
      <c r="L34" s="16">
        <f>-L10*0.05*0.8</f>
        <v>-3.1990215272661278</v>
      </c>
      <c r="M34" s="16">
        <f>-M10*0.05*0.8</f>
        <v>-25.935875488646634</v>
      </c>
      <c r="N34" s="16">
        <f>-N10*0.05*0.8</f>
        <v>-7.1063222654920084</v>
      </c>
      <c r="O34" s="19">
        <f t="shared" si="3"/>
        <v>-6.845914356469426</v>
      </c>
      <c r="P34" s="16">
        <f>-P10*0.05*0.8</f>
        <v>0</v>
      </c>
      <c r="Q34" s="16">
        <f>-Q10*0.05*0.8</f>
        <v>-6.845914356469426</v>
      </c>
      <c r="R34" s="16">
        <f>-R10*0.05*0.8</f>
        <v>-3.0616334731954993</v>
      </c>
      <c r="S34" s="13"/>
      <c r="T34" s="16">
        <f t="shared" si="5"/>
        <v>-6.7420623708315723</v>
      </c>
      <c r="U34" s="16">
        <f>-U10*0.05*0.8</f>
        <v>-5.6664063732000027</v>
      </c>
      <c r="V34" s="16">
        <f>-V10*0.05*0.8</f>
        <v>-0.21559251219199724</v>
      </c>
      <c r="W34" s="16">
        <f t="shared" si="6"/>
        <v>0</v>
      </c>
      <c r="X34" s="16">
        <f>-X10*0.05*0.8</f>
        <v>0</v>
      </c>
      <c r="Y34" s="16">
        <f>-Y10*0.05*0.8</f>
        <v>0</v>
      </c>
      <c r="Z34" s="16">
        <f t="shared" si="7"/>
        <v>-0.17623161495957279</v>
      </c>
      <c r="AA34" s="16">
        <f>-AA10*0.05*0.8</f>
        <v>-2.1950739114773798E-2</v>
      </c>
      <c r="AB34" s="16">
        <f>-AB10*0.05*0.8</f>
        <v>-9.7046935535198608E-2</v>
      </c>
      <c r="AC34" s="16">
        <f>-AC10*0.05*0.8</f>
        <v>-5.7233940309600377E-2</v>
      </c>
      <c r="AD34" s="16">
        <f>-AD10*0.05*0.8</f>
        <v>-0.51685054999999924</v>
      </c>
      <c r="AE34" s="16">
        <f t="shared" si="9"/>
        <v>-2.6144573680000179E-2</v>
      </c>
      <c r="AF34" s="16">
        <f t="shared" ref="AF34:AQ34" si="38">-AF10*0.05*0.8</f>
        <v>0</v>
      </c>
      <c r="AG34" s="16">
        <f t="shared" si="38"/>
        <v>-2.6144573680000179E-2</v>
      </c>
      <c r="AH34" s="16">
        <f t="shared" si="38"/>
        <v>-7.4292010400001815E-2</v>
      </c>
      <c r="AI34" s="16">
        <f t="shared" si="38"/>
        <v>0</v>
      </c>
      <c r="AJ34" s="16">
        <f t="shared" si="38"/>
        <v>-4.5215532799999784E-2</v>
      </c>
      <c r="AK34" s="16">
        <f t="shared" si="38"/>
        <v>0</v>
      </c>
      <c r="AL34" s="16">
        <f t="shared" si="38"/>
        <v>-2.132920359999986E-2</v>
      </c>
      <c r="AM34" s="16">
        <f t="shared" si="38"/>
        <v>0</v>
      </c>
      <c r="AN34" s="16">
        <f t="shared" si="38"/>
        <v>0</v>
      </c>
      <c r="AO34" s="16">
        <f t="shared" si="38"/>
        <v>0</v>
      </c>
      <c r="AP34" s="16">
        <f t="shared" si="38"/>
        <v>0</v>
      </c>
      <c r="AQ34" s="16">
        <f t="shared" si="38"/>
        <v>0</v>
      </c>
    </row>
    <row r="35" spans="1:43">
      <c r="A35" s="10">
        <v>6</v>
      </c>
      <c r="B35" s="11" t="s">
        <v>104</v>
      </c>
      <c r="C35" s="12">
        <f t="shared" si="10"/>
        <v>-899.02344612562365</v>
      </c>
      <c r="D35" s="12">
        <f>SUM(D36:D38)</f>
        <v>-607.10706094882244</v>
      </c>
      <c r="E35" s="12">
        <f t="shared" ref="E35:AQ35" si="39">SUM(E36:E38)</f>
        <v>-291.91638517680121</v>
      </c>
      <c r="F35" s="12">
        <f t="shared" si="0"/>
        <v>505.40746163750373</v>
      </c>
      <c r="G35" s="12">
        <f t="shared" si="39"/>
        <v>886.5163683132007</v>
      </c>
      <c r="H35" s="12">
        <f t="shared" si="39"/>
        <v>-381.10890667569697</v>
      </c>
      <c r="I35" s="12">
        <f t="shared" si="1"/>
        <v>-347.04295349044037</v>
      </c>
      <c r="J35" s="12">
        <f t="shared" si="39"/>
        <v>-228.34895007238401</v>
      </c>
      <c r="K35" s="12">
        <f t="shared" si="39"/>
        <v>1.9999998679409714E-7</v>
      </c>
      <c r="L35" s="12">
        <f t="shared" si="39"/>
        <v>-118.69400361805634</v>
      </c>
      <c r="M35" s="12">
        <f>SUM(M36:M38)</f>
        <v>-714.23641537428568</v>
      </c>
      <c r="N35" s="12">
        <f>SUM(N36:N38)</f>
        <v>-324.48567558267467</v>
      </c>
      <c r="O35" s="12">
        <f t="shared" si="3"/>
        <v>-130.07237277291912</v>
      </c>
      <c r="P35" s="12">
        <f t="shared" ref="P35:R35" si="40">SUM(P36:P38)</f>
        <v>-6.6613381477509392E-16</v>
      </c>
      <c r="Q35" s="12">
        <f t="shared" si="40"/>
        <v>-130.07237277291912</v>
      </c>
      <c r="R35" s="12">
        <f t="shared" si="40"/>
        <v>-78.305078550714512</v>
      </c>
      <c r="S35" s="13"/>
      <c r="T35" s="12">
        <f t="shared" si="5"/>
        <v>74.495895924200326</v>
      </c>
      <c r="U35" s="12">
        <f t="shared" si="39"/>
        <v>-107.63172108079981</v>
      </c>
      <c r="V35" s="12">
        <f t="shared" si="39"/>
        <v>-4.0962577416479986</v>
      </c>
      <c r="W35" s="12">
        <f t="shared" si="6"/>
        <v>121.03951685000018</v>
      </c>
      <c r="X35" s="12">
        <f t="shared" si="39"/>
        <v>199.96640728000014</v>
      </c>
      <c r="Y35" s="12">
        <f t="shared" si="39"/>
        <v>-78.926890429999958</v>
      </c>
      <c r="Z35" s="12">
        <f t="shared" si="7"/>
        <v>-15.303255664231898</v>
      </c>
      <c r="AA35" s="12">
        <f t="shared" si="39"/>
        <v>-3.7693517331807085</v>
      </c>
      <c r="AB35" s="12">
        <f t="shared" si="39"/>
        <v>-1.8438917651687849</v>
      </c>
      <c r="AC35" s="12">
        <f t="shared" si="39"/>
        <v>-9.6900121658824041</v>
      </c>
      <c r="AD35" s="12">
        <f t="shared" si="39"/>
        <v>-9.820160450000099</v>
      </c>
      <c r="AE35" s="12">
        <f t="shared" si="9"/>
        <v>-69.463451359919929</v>
      </c>
      <c r="AF35" s="12">
        <f t="shared" si="39"/>
        <v>-65.325427569999931</v>
      </c>
      <c r="AG35" s="12">
        <f t="shared" si="39"/>
        <v>-4.1380237899200036</v>
      </c>
      <c r="AH35" s="12">
        <f t="shared" si="39"/>
        <v>-20.565324377600017</v>
      </c>
      <c r="AI35" s="12">
        <f>SUM(AI36:AI38)</f>
        <v>6.5867314499999994</v>
      </c>
      <c r="AJ35" s="12">
        <f t="shared" si="39"/>
        <v>-12.456315753199972</v>
      </c>
      <c r="AK35" s="12">
        <f t="shared" si="39"/>
        <v>-5.0281812100000138</v>
      </c>
      <c r="AL35" s="12">
        <f t="shared" si="39"/>
        <v>-0.40525488840000606</v>
      </c>
      <c r="AM35" s="20">
        <f t="shared" si="39"/>
        <v>0</v>
      </c>
      <c r="AN35" s="12">
        <f t="shared" si="39"/>
        <v>-0.940566970000003</v>
      </c>
      <c r="AO35" s="12">
        <f t="shared" si="39"/>
        <v>-2.6645352591003757E-15</v>
      </c>
      <c r="AP35" s="12">
        <f t="shared" si="39"/>
        <v>-17.335761450000053</v>
      </c>
      <c r="AQ35" s="12">
        <f t="shared" si="39"/>
        <v>192.5801371199999</v>
      </c>
    </row>
    <row r="36" spans="1:43" outlineLevel="1">
      <c r="A36" s="14" t="s">
        <v>105</v>
      </c>
      <c r="B36" s="53" t="s">
        <v>106</v>
      </c>
      <c r="C36" s="19">
        <f t="shared" si="10"/>
        <v>-316.43470034790153</v>
      </c>
      <c r="D36" s="19">
        <f>D30+D25</f>
        <v>-275.1610222379004</v>
      </c>
      <c r="E36" s="19">
        <f t="shared" ref="E36:AQ37" si="41">E30+E25</f>
        <v>-41.273678110001129</v>
      </c>
      <c r="F36" s="19">
        <f t="shared" si="0"/>
        <v>1733.4370349000001</v>
      </c>
      <c r="G36" s="19">
        <f t="shared" si="41"/>
        <v>1733.4370350700001</v>
      </c>
      <c r="H36" s="19">
        <f t="shared" si="41"/>
        <v>-1.7000002117129043E-7</v>
      </c>
      <c r="I36" s="19">
        <f t="shared" si="1"/>
        <v>-98.126327649999894</v>
      </c>
      <c r="J36" s="19">
        <f t="shared" si="41"/>
        <v>-98.126327649999894</v>
      </c>
      <c r="K36" s="19">
        <f t="shared" si="41"/>
        <v>0</v>
      </c>
      <c r="L36" s="19">
        <f t="shared" si="41"/>
        <v>0</v>
      </c>
      <c r="M36" s="19">
        <f>M30+M25</f>
        <v>-221.45478108999987</v>
      </c>
      <c r="N36" s="19">
        <f>N30+N25</f>
        <v>-189.46555253832662</v>
      </c>
      <c r="O36" s="19">
        <f t="shared" si="3"/>
        <v>0</v>
      </c>
      <c r="P36" s="19">
        <f t="shared" ref="P36:R37" si="42">P30+P25</f>
        <v>0</v>
      </c>
      <c r="Q36" s="19">
        <f t="shared" si="42"/>
        <v>0</v>
      </c>
      <c r="R36" s="19">
        <f t="shared" si="42"/>
        <v>-7.208660190000046</v>
      </c>
      <c r="T36" s="19">
        <f t="shared" si="5"/>
        <v>-19.153776178530968</v>
      </c>
      <c r="U36" s="19">
        <f t="shared" si="41"/>
        <v>0</v>
      </c>
      <c r="V36" s="19">
        <f t="shared" si="41"/>
        <v>0</v>
      </c>
      <c r="W36" s="19">
        <f t="shared" si="6"/>
        <v>0</v>
      </c>
      <c r="X36" s="19">
        <f t="shared" si="41"/>
        <v>0</v>
      </c>
      <c r="Y36" s="19">
        <f t="shared" si="41"/>
        <v>0</v>
      </c>
      <c r="Z36" s="19">
        <f t="shared" si="7"/>
        <v>0</v>
      </c>
      <c r="AA36" s="19">
        <f t="shared" si="41"/>
        <v>0</v>
      </c>
      <c r="AB36" s="19">
        <f t="shared" si="41"/>
        <v>0</v>
      </c>
      <c r="AC36" s="19">
        <f t="shared" si="41"/>
        <v>0</v>
      </c>
      <c r="AD36" s="19">
        <f t="shared" si="41"/>
        <v>0</v>
      </c>
      <c r="AE36" s="19">
        <f t="shared" si="9"/>
        <v>0</v>
      </c>
      <c r="AF36" s="19">
        <f t="shared" si="41"/>
        <v>0</v>
      </c>
      <c r="AG36" s="19">
        <f t="shared" si="41"/>
        <v>0</v>
      </c>
      <c r="AH36" s="19">
        <f t="shared" si="41"/>
        <v>-19.153776178530968</v>
      </c>
      <c r="AI36" s="19">
        <f>AI30+AI25</f>
        <v>0</v>
      </c>
      <c r="AJ36" s="19">
        <f t="shared" si="41"/>
        <v>0</v>
      </c>
      <c r="AK36" s="19">
        <f t="shared" si="41"/>
        <v>0</v>
      </c>
      <c r="AL36" s="19">
        <f t="shared" si="41"/>
        <v>0</v>
      </c>
      <c r="AM36" s="19">
        <f t="shared" si="41"/>
        <v>0</v>
      </c>
      <c r="AN36" s="19">
        <f t="shared" si="41"/>
        <v>0</v>
      </c>
      <c r="AO36" s="19">
        <f t="shared" si="41"/>
        <v>0</v>
      </c>
      <c r="AP36" s="19">
        <f t="shared" si="41"/>
        <v>0</v>
      </c>
      <c r="AQ36" s="19">
        <f t="shared" si="41"/>
        <v>0</v>
      </c>
    </row>
    <row r="37" spans="1:43" outlineLevel="1">
      <c r="A37" s="14" t="s">
        <v>107</v>
      </c>
      <c r="B37" s="53" t="s">
        <v>108</v>
      </c>
      <c r="C37" s="19">
        <f t="shared" si="10"/>
        <v>-578.27834160062184</v>
      </c>
      <c r="D37" s="19">
        <f>D31+D26</f>
        <v>-327.63563453382176</v>
      </c>
      <c r="E37" s="19">
        <f t="shared" si="41"/>
        <v>-250.64270706680006</v>
      </c>
      <c r="F37" s="19">
        <f t="shared" si="0"/>
        <v>-785.72695871189603</v>
      </c>
      <c r="G37" s="19">
        <f t="shared" si="41"/>
        <v>-591.95632580619861</v>
      </c>
      <c r="H37" s="19">
        <f t="shared" si="41"/>
        <v>-193.77063290569743</v>
      </c>
      <c r="I37" s="19">
        <f t="shared" si="1"/>
        <v>-187.11028044044099</v>
      </c>
      <c r="J37" s="19">
        <f t="shared" si="41"/>
        <v>-126.32887142238457</v>
      </c>
      <c r="K37" s="19">
        <f t="shared" si="41"/>
        <v>0</v>
      </c>
      <c r="L37" s="19">
        <f t="shared" si="41"/>
        <v>-60.781409018056415</v>
      </c>
      <c r="M37" s="19">
        <f>M31+M26</f>
        <v>-492.7816342842861</v>
      </c>
      <c r="N37" s="19">
        <f>N31+N26</f>
        <v>-135.02012304434817</v>
      </c>
      <c r="O37" s="19">
        <f t="shared" si="3"/>
        <v>-130.07237277291907</v>
      </c>
      <c r="P37" s="19">
        <f t="shared" si="42"/>
        <v>0</v>
      </c>
      <c r="Q37" s="19">
        <f t="shared" si="42"/>
        <v>-130.07237277291907</v>
      </c>
      <c r="R37" s="19">
        <f t="shared" si="42"/>
        <v>-58.171035990714472</v>
      </c>
      <c r="T37" s="19">
        <f t="shared" si="5"/>
        <v>271.12051855420015</v>
      </c>
      <c r="U37" s="19">
        <f t="shared" si="41"/>
        <v>-107.66172109080003</v>
      </c>
      <c r="V37" s="19">
        <f t="shared" si="41"/>
        <v>-4.096257731647948</v>
      </c>
      <c r="W37" s="19">
        <f t="shared" si="6"/>
        <v>199.96640727000005</v>
      </c>
      <c r="X37" s="19">
        <f t="shared" si="41"/>
        <v>199.96640727000005</v>
      </c>
      <c r="Y37" s="19">
        <f t="shared" si="41"/>
        <v>0</v>
      </c>
      <c r="Z37" s="19">
        <f t="shared" si="7"/>
        <v>-3.3484006742318853</v>
      </c>
      <c r="AA37" s="19">
        <f t="shared" si="41"/>
        <v>-0.41706404318070212</v>
      </c>
      <c r="AB37" s="19">
        <f t="shared" si="41"/>
        <v>-1.8438917751687733</v>
      </c>
      <c r="AC37" s="19">
        <f t="shared" si="41"/>
        <v>-1.0874448558824097</v>
      </c>
      <c r="AD37" s="19">
        <f t="shared" si="41"/>
        <v>-9.8201604499999853</v>
      </c>
      <c r="AE37" s="19">
        <f t="shared" si="9"/>
        <v>-0.49674689992000343</v>
      </c>
      <c r="AF37" s="19">
        <f t="shared" si="41"/>
        <v>0</v>
      </c>
      <c r="AG37" s="19">
        <f t="shared" si="41"/>
        <v>-0.49674689992000343</v>
      </c>
      <c r="AH37" s="19">
        <f t="shared" si="41"/>
        <v>-1.4115481976000341</v>
      </c>
      <c r="AI37" s="19">
        <f>AI31+AI26</f>
        <v>6.6731592000000006</v>
      </c>
      <c r="AJ37" s="19">
        <f t="shared" si="41"/>
        <v>-0.85909512319999581</v>
      </c>
      <c r="AK37" s="19">
        <f t="shared" si="41"/>
        <v>0</v>
      </c>
      <c r="AL37" s="19">
        <f t="shared" si="41"/>
        <v>-0.4052548683999973</v>
      </c>
      <c r="AM37" s="19">
        <f t="shared" si="41"/>
        <v>0</v>
      </c>
      <c r="AN37" s="19">
        <f t="shared" si="41"/>
        <v>0</v>
      </c>
      <c r="AO37" s="19">
        <f t="shared" si="41"/>
        <v>0</v>
      </c>
      <c r="AP37" s="19">
        <f t="shared" si="41"/>
        <v>0</v>
      </c>
      <c r="AQ37" s="19">
        <f t="shared" si="41"/>
        <v>192.58013711999996</v>
      </c>
    </row>
    <row r="38" spans="1:43" outlineLevel="1">
      <c r="A38" s="14" t="s">
        <v>109</v>
      </c>
      <c r="B38" s="53" t="s">
        <v>110</v>
      </c>
      <c r="C38" s="19">
        <f t="shared" si="10"/>
        <v>-4.3104041771003665</v>
      </c>
      <c r="D38" s="19">
        <f>D27+D28</f>
        <v>-4.3104041771003381</v>
      </c>
      <c r="E38" s="19">
        <f>E27+E28</f>
        <v>-2.8421709430404007E-14</v>
      </c>
      <c r="F38" s="19">
        <f t="shared" si="0"/>
        <v>-442.30261455060042</v>
      </c>
      <c r="G38" s="19">
        <f t="shared" ref="G38:AQ38" si="43">G27+G28</f>
        <v>-254.9643409506009</v>
      </c>
      <c r="H38" s="19">
        <f t="shared" si="43"/>
        <v>-187.33827359999955</v>
      </c>
      <c r="I38" s="19">
        <f t="shared" si="1"/>
        <v>-61.806345399999501</v>
      </c>
      <c r="J38" s="19">
        <f t="shared" si="43"/>
        <v>-3.8937509999995541</v>
      </c>
      <c r="K38" s="19">
        <f t="shared" si="43"/>
        <v>1.9999998679409714E-7</v>
      </c>
      <c r="L38" s="19">
        <f t="shared" si="43"/>
        <v>-57.912594599999935</v>
      </c>
      <c r="M38" s="19">
        <f>M27+M28</f>
        <v>3.5527136788005009E-13</v>
      </c>
      <c r="N38" s="19">
        <f>N27+N28</f>
        <v>9.9475983006414026E-14</v>
      </c>
      <c r="O38" s="19">
        <f t="shared" si="3"/>
        <v>-6.8167693711984612E-14</v>
      </c>
      <c r="P38" s="19">
        <f t="shared" ref="P38:R38" si="44">P27+P28</f>
        <v>-6.6613381477509392E-16</v>
      </c>
      <c r="Q38" s="19">
        <f t="shared" si="44"/>
        <v>-6.7501559897209518E-14</v>
      </c>
      <c r="R38" s="19">
        <f t="shared" si="44"/>
        <v>-12.925382369999999</v>
      </c>
      <c r="T38" s="19">
        <f t="shared" si="5"/>
        <v>-177.47084645146884</v>
      </c>
      <c r="U38" s="19">
        <f t="shared" si="43"/>
        <v>3.0000010000222233E-2</v>
      </c>
      <c r="V38" s="19">
        <f t="shared" si="43"/>
        <v>-1.0000050565395213E-8</v>
      </c>
      <c r="W38" s="19">
        <f t="shared" si="6"/>
        <v>-78.926890419999864</v>
      </c>
      <c r="X38" s="19">
        <f t="shared" si="43"/>
        <v>1.0000093197959359E-8</v>
      </c>
      <c r="Y38" s="19">
        <f t="shared" si="43"/>
        <v>-78.926890429999958</v>
      </c>
      <c r="Z38" s="19">
        <f t="shared" si="7"/>
        <v>-11.954854990000012</v>
      </c>
      <c r="AA38" s="19">
        <f t="shared" si="43"/>
        <v>-3.3522876900000065</v>
      </c>
      <c r="AB38" s="19">
        <f t="shared" si="43"/>
        <v>9.9999883929058342E-9</v>
      </c>
      <c r="AC38" s="19">
        <f t="shared" si="43"/>
        <v>-8.6025673099999942</v>
      </c>
      <c r="AD38" s="19">
        <f t="shared" si="43"/>
        <v>-1.1368683772161603E-13</v>
      </c>
      <c r="AE38" s="19">
        <f t="shared" si="9"/>
        <v>-68.966704459999931</v>
      </c>
      <c r="AF38" s="19">
        <f t="shared" si="43"/>
        <v>-65.325427569999931</v>
      </c>
      <c r="AG38" s="19">
        <f t="shared" si="43"/>
        <v>-3.6412768900000003</v>
      </c>
      <c r="AH38" s="19">
        <f t="shared" si="43"/>
        <v>-1.4690151317608979E-9</v>
      </c>
      <c r="AI38" s="19">
        <f>AI27+AI28</f>
        <v>-8.6427750000001635E-2</v>
      </c>
      <c r="AJ38" s="19">
        <f t="shared" si="43"/>
        <v>-11.597220629999976</v>
      </c>
      <c r="AK38" s="19">
        <f t="shared" si="43"/>
        <v>-5.0281812100000138</v>
      </c>
      <c r="AL38" s="19">
        <f t="shared" si="43"/>
        <v>-2.0000008760234778E-8</v>
      </c>
      <c r="AM38" s="19">
        <f t="shared" si="43"/>
        <v>0</v>
      </c>
      <c r="AN38" s="19">
        <f t="shared" si="43"/>
        <v>-0.940566970000003</v>
      </c>
      <c r="AO38" s="19">
        <f t="shared" si="43"/>
        <v>-2.6645352591003757E-15</v>
      </c>
      <c r="AP38" s="19">
        <f t="shared" si="43"/>
        <v>-17.335761450000053</v>
      </c>
      <c r="AQ38" s="19">
        <f t="shared" si="43"/>
        <v>-5.6843418860808015E-14</v>
      </c>
    </row>
    <row r="41" spans="1:43">
      <c r="G41" s="13"/>
      <c r="X41" s="13"/>
    </row>
    <row r="42" spans="1:43">
      <c r="G42" s="13"/>
    </row>
    <row r="43" spans="1:43">
      <c r="R43" s="21"/>
    </row>
    <row r="46" spans="1:43">
      <c r="J46" s="21"/>
    </row>
    <row r="48" spans="1:43">
      <c r="J48" s="22"/>
    </row>
    <row r="53" spans="44:44">
      <c r="AR53" s="7"/>
    </row>
    <row r="54" spans="44:44">
      <c r="AR54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2082E-A4A2-4DA7-AB90-29D49078ECB1}">
  <sheetPr>
    <tabColor rgb="FF008C95"/>
    <outlinePr summaryBelow="0" summaryRight="0"/>
  </sheetPr>
  <dimension ref="A1:O36"/>
  <sheetViews>
    <sheetView zoomScale="70" zoomScaleNormal="70" workbookViewId="0">
      <selection activeCell="F30" sqref="F30"/>
    </sheetView>
  </sheetViews>
  <sheetFormatPr defaultRowHeight="14.25" outlineLevelRow="1" outlineLevelCol="1"/>
  <cols>
    <col min="1" max="1" width="5.25" customWidth="1"/>
    <col min="2" max="2" width="48.625" customWidth="1"/>
    <col min="3" max="3" width="8.5" hidden="1" customWidth="1"/>
    <col min="4" max="4" width="12" customWidth="1"/>
    <col min="5" max="6" width="11.5" customWidth="1" outlineLevel="1"/>
    <col min="7" max="8" width="11.5" customWidth="1"/>
    <col min="9" max="12" width="13.625" customWidth="1"/>
    <col min="13" max="13" width="29" customWidth="1"/>
    <col min="15" max="15" width="10.875" customWidth="1"/>
  </cols>
  <sheetData>
    <row r="1" spans="1:15" ht="53.25" customHeight="1">
      <c r="A1" s="1" t="s">
        <v>0</v>
      </c>
      <c r="B1" s="2" t="s">
        <v>1</v>
      </c>
      <c r="C1" s="1" t="s">
        <v>111</v>
      </c>
      <c r="D1" s="1" t="s">
        <v>2</v>
      </c>
      <c r="E1" s="1" t="s">
        <v>2</v>
      </c>
      <c r="F1" s="1" t="s">
        <v>2</v>
      </c>
      <c r="G1" s="3" t="s">
        <v>3</v>
      </c>
      <c r="H1" s="3" t="s">
        <v>3</v>
      </c>
      <c r="I1" s="1" t="s">
        <v>4</v>
      </c>
      <c r="J1" s="1" t="s">
        <v>4</v>
      </c>
      <c r="K1" s="1" t="s">
        <v>4</v>
      </c>
      <c r="L1" s="1" t="s">
        <v>17</v>
      </c>
      <c r="M1" s="23" t="s">
        <v>112</v>
      </c>
      <c r="N1" s="6" t="s">
        <v>26</v>
      </c>
      <c r="O1" s="7">
        <f>'Преза НЗП без НДС'!AO1</f>
        <v>46280</v>
      </c>
    </row>
    <row r="2" spans="1:15" ht="13.5" customHeight="1">
      <c r="A2" s="8"/>
      <c r="B2" s="2" t="s">
        <v>27</v>
      </c>
      <c r="C2" s="1"/>
      <c r="D2" s="3"/>
      <c r="E2" s="1" t="s">
        <v>175</v>
      </c>
      <c r="F2" s="1" t="s">
        <v>176</v>
      </c>
      <c r="G2" s="3" t="s">
        <v>177</v>
      </c>
      <c r="H2" s="3" t="s">
        <v>178</v>
      </c>
      <c r="I2" s="1" t="s">
        <v>179</v>
      </c>
      <c r="J2" s="1" t="s">
        <v>180</v>
      </c>
      <c r="K2" s="1" t="s">
        <v>181</v>
      </c>
      <c r="L2" s="1" t="s">
        <v>197</v>
      </c>
      <c r="M2" s="5"/>
    </row>
    <row r="3" spans="1:15" ht="24">
      <c r="A3" s="8"/>
      <c r="B3" s="2" t="s">
        <v>29</v>
      </c>
      <c r="C3" s="1"/>
      <c r="D3" s="3"/>
      <c r="E3" s="1" t="s">
        <v>31</v>
      </c>
      <c r="F3" s="1" t="s">
        <v>32</v>
      </c>
      <c r="G3" s="1" t="s">
        <v>33</v>
      </c>
      <c r="H3" s="1" t="s">
        <v>34</v>
      </c>
      <c r="I3" s="1" t="s">
        <v>36</v>
      </c>
      <c r="J3" s="1" t="s">
        <v>38</v>
      </c>
      <c r="K3" s="1" t="s">
        <v>38</v>
      </c>
      <c r="L3" s="1" t="s">
        <v>49</v>
      </c>
      <c r="M3" s="5"/>
    </row>
    <row r="4" spans="1:15">
      <c r="A4" s="8"/>
      <c r="B4" s="2" t="s">
        <v>52</v>
      </c>
      <c r="C4" s="1"/>
      <c r="D4" s="3"/>
      <c r="E4" s="1">
        <v>89.79</v>
      </c>
      <c r="F4" s="1">
        <v>80</v>
      </c>
      <c r="G4" s="1">
        <v>91.5</v>
      </c>
      <c r="H4" s="1">
        <v>80</v>
      </c>
      <c r="I4" s="1">
        <v>80</v>
      </c>
      <c r="J4" s="1">
        <v>80</v>
      </c>
      <c r="K4" s="1">
        <v>85</v>
      </c>
      <c r="L4" s="1">
        <v>80</v>
      </c>
      <c r="M4" s="5"/>
    </row>
    <row r="5" spans="1:15">
      <c r="A5" s="8"/>
      <c r="B5" s="2"/>
      <c r="C5" s="1"/>
      <c r="D5" s="3"/>
      <c r="E5" s="24">
        <f>E8*E4</f>
        <v>4798.0267060674005</v>
      </c>
      <c r="F5" s="24">
        <f>F8*F4</f>
        <v>1575.2284703999999</v>
      </c>
      <c r="G5" s="24">
        <f>G8*G4</f>
        <v>5445.8662276349996</v>
      </c>
      <c r="H5" s="24">
        <f>H8*H4</f>
        <v>1288.7943847999998</v>
      </c>
      <c r="I5" s="24">
        <f>I8*I4</f>
        <v>1925.8669239999999</v>
      </c>
      <c r="J5" s="24">
        <f t="shared" ref="J5" si="0">J8*J4</f>
        <v>73.665158399999996</v>
      </c>
      <c r="K5" s="24">
        <f>K8*K4</f>
        <v>455.65139440000002</v>
      </c>
      <c r="L5" s="24">
        <f>L8*L4</f>
        <v>9.6150544</v>
      </c>
      <c r="M5" s="5"/>
    </row>
    <row r="6" spans="1:15">
      <c r="A6" s="10">
        <v>1</v>
      </c>
      <c r="B6" s="55" t="s">
        <v>113</v>
      </c>
      <c r="C6" s="12">
        <f>SUM(D6,G6:L6)</f>
        <v>621.22711060999995</v>
      </c>
      <c r="D6" s="12">
        <f>E6+F6</f>
        <v>286.00137998000002</v>
      </c>
      <c r="E6" s="12">
        <v>78.01784404</v>
      </c>
      <c r="F6" s="12">
        <v>207.98353594</v>
      </c>
      <c r="G6" s="12">
        <v>93.314170689999997</v>
      </c>
      <c r="H6" s="12">
        <v>127.31241384</v>
      </c>
      <c r="I6" s="12">
        <v>92.028886770000014</v>
      </c>
      <c r="J6" s="12">
        <v>1.2616203000000001</v>
      </c>
      <c r="K6" s="12">
        <v>20.24413225</v>
      </c>
      <c r="L6" s="12">
        <v>1.0645067800000001</v>
      </c>
    </row>
    <row r="7" spans="1:15">
      <c r="A7" s="10">
        <v>2</v>
      </c>
      <c r="B7" s="55" t="s">
        <v>57</v>
      </c>
      <c r="C7" s="12">
        <f t="shared" ref="C7:C36" si="1">SUM(D7,G7:L7)</f>
        <v>207.52722293340875</v>
      </c>
      <c r="D7" s="12">
        <f t="shared" ref="D7:D36" si="2">E7+F7</f>
        <v>82.050058335828183</v>
      </c>
      <c r="E7" s="12">
        <f t="shared" ref="E7:L7" si="3">E8+E9</f>
        <v>58.237289510979501</v>
      </c>
      <c r="F7" s="12">
        <f t="shared" si="3"/>
        <v>23.812768824848682</v>
      </c>
      <c r="G7" s="12">
        <f t="shared" si="3"/>
        <v>68.030121639470792</v>
      </c>
      <c r="H7" s="12">
        <f t="shared" si="3"/>
        <v>19.296946798580546</v>
      </c>
      <c r="I7" s="12">
        <f t="shared" si="3"/>
        <v>30.807600175039223</v>
      </c>
      <c r="J7" s="12">
        <f t="shared" si="3"/>
        <v>0.92081447999999999</v>
      </c>
      <c r="K7" s="12">
        <f t="shared" si="3"/>
        <v>6.3014933244900373</v>
      </c>
      <c r="L7" s="12">
        <f t="shared" si="3"/>
        <v>0.12018817999999999</v>
      </c>
    </row>
    <row r="8" spans="1:15">
      <c r="A8" s="14" t="s">
        <v>58</v>
      </c>
      <c r="B8" s="15" t="s">
        <v>59</v>
      </c>
      <c r="C8" s="16">
        <f t="shared" si="1"/>
        <v>179.22898528999997</v>
      </c>
      <c r="D8" s="16">
        <f t="shared" si="2"/>
        <v>73.126447939999991</v>
      </c>
      <c r="E8" s="16">
        <v>53.43609206</v>
      </c>
      <c r="F8" s="16">
        <v>19.690355879999998</v>
      </c>
      <c r="G8" s="16">
        <v>59.517663689999999</v>
      </c>
      <c r="H8" s="16">
        <v>16.109929809999997</v>
      </c>
      <c r="I8" s="16">
        <v>24.07333655</v>
      </c>
      <c r="J8" s="25">
        <v>0.92081447999999999</v>
      </c>
      <c r="K8" s="16">
        <v>5.36060464</v>
      </c>
      <c r="L8" s="16">
        <v>0.12018817999999999</v>
      </c>
      <c r="M8" s="13"/>
    </row>
    <row r="9" spans="1:15">
      <c r="A9" s="14" t="s">
        <v>60</v>
      </c>
      <c r="B9" s="15" t="s">
        <v>63</v>
      </c>
      <c r="C9" s="16">
        <f t="shared" si="1"/>
        <v>28.298237643408786</v>
      </c>
      <c r="D9" s="16">
        <f t="shared" si="2"/>
        <v>8.923610395828188</v>
      </c>
      <c r="E9" s="16">
        <f>'БАЛАНС РУКОВОДСТВУ руб. с НДС'!D10/'БАЛАНС РУКОВОДСТВУ руб. с НДС'!D4</f>
        <v>4.8011974509795037</v>
      </c>
      <c r="F9" s="16">
        <f>'БАЛАНС РУКОВОДСТВУ руб. с НДС'!E10/'БАЛАНС РУКОВОДСТВУ руб. с НДС'!E4</f>
        <v>4.1224129448486853</v>
      </c>
      <c r="G9" s="16">
        <f>'БАЛАНС РУКОВОДСТВУ руб. с НДС'!G10/'БАЛАНС РУКОВОДСТВУ руб. с НДС'!G4</f>
        <v>8.5124579494707877</v>
      </c>
      <c r="H9" s="16">
        <f>'БАЛАНС РУКОВОДСТВУ руб. с НДС'!H10/'БАЛАНС РУКОВОДСТВУ руб. с НДС'!H4</f>
        <v>3.1870169885805497</v>
      </c>
      <c r="I9" s="16">
        <f>'БАЛАНС РУКОВОДСТВУ руб. с НДС'!J10/'БАЛАНС РУКОВОДСТВУ руб. с НДС'!J4</f>
        <v>6.7342636250392216</v>
      </c>
      <c r="J9" s="16">
        <f>'БАЛАНС РУКОВОДСТВУ руб. с НДС'!K10/'БАЛАНС РУКОВОДСТВУ руб. с НДС'!K4</f>
        <v>0</v>
      </c>
      <c r="K9" s="16">
        <f>'БАЛАНС РУКОВОДСТВУ руб. с НДС'!L10/'БАЛАНС РУКОВОДСТВУ руб. с НДС'!L4</f>
        <v>0.94088868449003737</v>
      </c>
      <c r="L9" s="16">
        <f>'БАЛАНС РУКОВОДСТВУ руб. с НДС'!AI10/'БАЛАНС РУКОВОДСТВУ руб. с НДС'!AI4</f>
        <v>0</v>
      </c>
    </row>
    <row r="10" spans="1:15">
      <c r="A10" s="10">
        <v>3</v>
      </c>
      <c r="B10" s="55" t="s">
        <v>65</v>
      </c>
      <c r="C10" s="12">
        <f t="shared" si="1"/>
        <v>335.19373963999999</v>
      </c>
      <c r="D10" s="12">
        <f t="shared" si="2"/>
        <v>188.55918914999998</v>
      </c>
      <c r="E10" s="12">
        <f t="shared" ref="E10:L10" si="4">E12+E13+E15</f>
        <v>72.31550399999999</v>
      </c>
      <c r="F10" s="12">
        <f>F12+F13+F15</f>
        <v>116.24368514999999</v>
      </c>
      <c r="G10" s="12">
        <f t="shared" si="4"/>
        <v>71.408431289999996</v>
      </c>
      <c r="H10" s="12">
        <f t="shared" si="4"/>
        <v>30.792784960000006</v>
      </c>
      <c r="I10" s="12">
        <f t="shared" si="4"/>
        <v>39.170381040000009</v>
      </c>
      <c r="J10" s="12">
        <f t="shared" si="4"/>
        <v>0.74983205999999991</v>
      </c>
      <c r="K10" s="12">
        <f t="shared" si="4"/>
        <v>4.3155604900000002</v>
      </c>
      <c r="L10" s="12">
        <f t="shared" si="4"/>
        <v>0.19756065</v>
      </c>
    </row>
    <row r="11" spans="1:15">
      <c r="A11" s="14" t="s">
        <v>66</v>
      </c>
      <c r="B11" s="53" t="s">
        <v>67</v>
      </c>
      <c r="C11" s="16">
        <f t="shared" si="1"/>
        <v>128.87409781720467</v>
      </c>
      <c r="D11" s="16">
        <f t="shared" si="2"/>
        <v>54.62072146767234</v>
      </c>
      <c r="E11" s="16">
        <f>E12+E13+E14</f>
        <v>45.199122097672344</v>
      </c>
      <c r="F11" s="16">
        <f>F12+F13+F14</f>
        <v>9.4215993699999991</v>
      </c>
      <c r="G11" s="16">
        <f>G12+G13+G14</f>
        <v>37.793000126885239</v>
      </c>
      <c r="H11" s="16">
        <f t="shared" ref="H11:L11" si="5">H12+H13+H14</f>
        <v>13.138150200000002</v>
      </c>
      <c r="I11" s="16">
        <f t="shared" si="5"/>
        <v>17.963641832500006</v>
      </c>
      <c r="J11" s="16">
        <f t="shared" si="5"/>
        <v>0.87477376249999983</v>
      </c>
      <c r="K11" s="16">
        <f t="shared" si="5"/>
        <v>4.4112497776470594</v>
      </c>
      <c r="L11" s="16">
        <f t="shared" si="5"/>
        <v>7.256064999999999E-2</v>
      </c>
      <c r="M11" s="13"/>
    </row>
    <row r="12" spans="1:15" outlineLevel="1">
      <c r="A12" s="14" t="s">
        <v>68</v>
      </c>
      <c r="B12" s="52" t="s">
        <v>69</v>
      </c>
      <c r="C12" s="16">
        <f t="shared" si="1"/>
        <v>47.553481959999992</v>
      </c>
      <c r="D12" s="16">
        <f t="shared" si="2"/>
        <v>21.635829439999998</v>
      </c>
      <c r="E12" s="16">
        <v>17.841961229999999</v>
      </c>
      <c r="F12" s="16">
        <v>3.7938682099999999</v>
      </c>
      <c r="G12" s="16">
        <v>17.62969142</v>
      </c>
      <c r="H12" s="16">
        <v>1.57141971</v>
      </c>
      <c r="I12" s="16">
        <v>6.2806810300000002</v>
      </c>
      <c r="J12" s="16">
        <v>0</v>
      </c>
      <c r="K12" s="16">
        <v>0.36329971</v>
      </c>
      <c r="L12" s="16">
        <v>7.256064999999999E-2</v>
      </c>
      <c r="M12" s="13"/>
    </row>
    <row r="13" spans="1:15" outlineLevel="1">
      <c r="A13" s="14" t="s">
        <v>70</v>
      </c>
      <c r="B13" s="52" t="s">
        <v>71</v>
      </c>
      <c r="C13" s="16">
        <f t="shared" si="1"/>
        <v>73.621363059999993</v>
      </c>
      <c r="D13" s="16">
        <f t="shared" si="2"/>
        <v>29.950930259999993</v>
      </c>
      <c r="E13" s="16">
        <v>20.493539769999995</v>
      </c>
      <c r="F13" s="16">
        <v>9.4573904899999999</v>
      </c>
      <c r="G13" s="16">
        <v>18.045063889999998</v>
      </c>
      <c r="H13" s="16">
        <v>10.124503190000002</v>
      </c>
      <c r="I13" s="16">
        <v>10.798772880000003</v>
      </c>
      <c r="J13" s="16">
        <v>0.74983205999999991</v>
      </c>
      <c r="K13" s="16">
        <v>3.9522607800000005</v>
      </c>
      <c r="L13" s="16">
        <v>0</v>
      </c>
      <c r="M13" s="13"/>
    </row>
    <row r="14" spans="1:15" outlineLevel="1">
      <c r="A14" s="14" t="s">
        <v>72</v>
      </c>
      <c r="B14" s="54" t="s">
        <v>114</v>
      </c>
      <c r="C14" s="16">
        <f>SUM(D14,G14:L14)</f>
        <v>7.6992527972046521</v>
      </c>
      <c r="D14" s="16">
        <f>E14+F14</f>
        <v>3.0339617676723472</v>
      </c>
      <c r="E14" s="16">
        <v>6.8636210976723468</v>
      </c>
      <c r="F14" s="16">
        <v>-3.8296593299999997</v>
      </c>
      <c r="G14" s="16">
        <v>2.1182448168852455</v>
      </c>
      <c r="H14" s="16">
        <v>1.4422272999999997</v>
      </c>
      <c r="I14" s="16">
        <v>0.8841879225</v>
      </c>
      <c r="J14" s="16">
        <v>0.12494170249999997</v>
      </c>
      <c r="K14" s="16">
        <v>9.5689287647058835E-2</v>
      </c>
      <c r="L14" s="16">
        <v>0</v>
      </c>
      <c r="M14" s="13"/>
    </row>
    <row r="15" spans="1:15">
      <c r="A15" s="14" t="s">
        <v>74</v>
      </c>
      <c r="B15" s="53" t="s">
        <v>75</v>
      </c>
      <c r="C15" s="16">
        <f t="shared" si="1"/>
        <v>214.01889462</v>
      </c>
      <c r="D15" s="16">
        <f t="shared" si="2"/>
        <v>136.97242944999999</v>
      </c>
      <c r="E15" s="16">
        <f t="shared" ref="E15:L15" si="6">E16+E17</f>
        <v>33.980002999999996</v>
      </c>
      <c r="F15" s="16">
        <f t="shared" si="6"/>
        <v>102.99242645</v>
      </c>
      <c r="G15" s="16">
        <f t="shared" si="6"/>
        <v>35.733675980000001</v>
      </c>
      <c r="H15" s="16">
        <f t="shared" si="6"/>
        <v>19.096862060000003</v>
      </c>
      <c r="I15" s="16">
        <f t="shared" si="6"/>
        <v>22.090927130000001</v>
      </c>
      <c r="J15" s="16">
        <f t="shared" si="6"/>
        <v>0</v>
      </c>
      <c r="K15" s="16">
        <f t="shared" si="6"/>
        <v>0</v>
      </c>
      <c r="L15" s="16">
        <f t="shared" si="6"/>
        <v>0.125</v>
      </c>
      <c r="M15" s="13"/>
    </row>
    <row r="16" spans="1:15" outlineLevel="1">
      <c r="A16" s="14" t="s">
        <v>76</v>
      </c>
      <c r="B16" s="52" t="s">
        <v>115</v>
      </c>
      <c r="C16" s="16">
        <f t="shared" si="1"/>
        <v>190.34031246000001</v>
      </c>
      <c r="D16" s="16">
        <f t="shared" si="2"/>
        <v>128.51714426999999</v>
      </c>
      <c r="E16" s="16">
        <v>32.587247699999999</v>
      </c>
      <c r="F16" s="16">
        <v>95.929896569999997</v>
      </c>
      <c r="G16" s="16">
        <v>27.700889620000002</v>
      </c>
      <c r="H16" s="16">
        <v>19.096862060000003</v>
      </c>
      <c r="I16" s="16">
        <v>15.025416509999999</v>
      </c>
      <c r="J16" s="16">
        <v>0</v>
      </c>
      <c r="K16" s="16">
        <v>0</v>
      </c>
      <c r="L16" s="16">
        <v>0</v>
      </c>
      <c r="M16" s="13"/>
    </row>
    <row r="17" spans="1:15" outlineLevel="1">
      <c r="A17" s="14" t="s">
        <v>78</v>
      </c>
      <c r="B17" s="52" t="s">
        <v>116</v>
      </c>
      <c r="C17" s="16">
        <f t="shared" si="1"/>
        <v>23.678582160000001</v>
      </c>
      <c r="D17" s="16">
        <f t="shared" si="2"/>
        <v>8.4552851799999988</v>
      </c>
      <c r="E17" s="16">
        <v>1.3927553000000001</v>
      </c>
      <c r="F17" s="16">
        <v>7.0625298799999987</v>
      </c>
      <c r="G17" s="16">
        <v>8.0327863599999993</v>
      </c>
      <c r="H17" s="16">
        <v>0</v>
      </c>
      <c r="I17" s="16">
        <v>7.0655106200000004</v>
      </c>
      <c r="J17" s="16">
        <v>0</v>
      </c>
      <c r="K17" s="16">
        <v>0</v>
      </c>
      <c r="L17" s="16">
        <v>0.125</v>
      </c>
    </row>
    <row r="18" spans="1:15">
      <c r="A18" s="14" t="s">
        <v>80</v>
      </c>
      <c r="B18" s="53" t="s">
        <v>81</v>
      </c>
      <c r="C18" s="16">
        <f t="shared" si="1"/>
        <v>36.67216986359999</v>
      </c>
      <c r="D18" s="16">
        <f t="shared" si="2"/>
        <v>14.984466349999998</v>
      </c>
      <c r="E18" s="16">
        <v>5.6034951699999995</v>
      </c>
      <c r="F18" s="16">
        <v>9.3809711799999995</v>
      </c>
      <c r="G18" s="16">
        <v>16.789008933599998</v>
      </c>
      <c r="H18" s="16">
        <v>0</v>
      </c>
      <c r="I18" s="16">
        <v>4.857109069999999</v>
      </c>
      <c r="J18" s="16">
        <v>0</v>
      </c>
      <c r="K18" s="16">
        <v>0</v>
      </c>
      <c r="L18" s="16">
        <v>4.1585509999999999E-2</v>
      </c>
      <c r="M18" s="13"/>
    </row>
    <row r="19" spans="1:15" outlineLevel="1">
      <c r="A19" s="14" t="s">
        <v>82</v>
      </c>
      <c r="B19" s="52" t="s">
        <v>117</v>
      </c>
      <c r="C19" s="16">
        <f t="shared" si="1"/>
        <v>16.542466523599998</v>
      </c>
      <c r="D19" s="16">
        <f t="shared" si="2"/>
        <v>6.5291811700000002</v>
      </c>
      <c r="E19" s="16">
        <v>4.2107398700000003</v>
      </c>
      <c r="F19" s="16">
        <v>2.3184412999999999</v>
      </c>
      <c r="G19" s="16">
        <v>8.7562225736000006</v>
      </c>
      <c r="H19" s="26">
        <v>0</v>
      </c>
      <c r="I19" s="16">
        <v>1.25706278</v>
      </c>
      <c r="J19" s="16">
        <v>0</v>
      </c>
      <c r="K19" s="16">
        <v>0</v>
      </c>
      <c r="L19" s="16">
        <v>0</v>
      </c>
      <c r="M19" s="18"/>
    </row>
    <row r="20" spans="1:15" outlineLevel="1">
      <c r="A20" s="14" t="s">
        <v>83</v>
      </c>
      <c r="B20" s="52" t="s">
        <v>118</v>
      </c>
      <c r="C20" s="16">
        <f t="shared" si="1"/>
        <v>20.129703340000002</v>
      </c>
      <c r="D20" s="16">
        <f t="shared" si="2"/>
        <v>8.4552851800000006</v>
      </c>
      <c r="E20" s="16">
        <v>1.3927553000000001</v>
      </c>
      <c r="F20" s="16">
        <v>7.0625298799999996</v>
      </c>
      <c r="G20" s="16">
        <v>8.0327863600000011</v>
      </c>
      <c r="H20" s="16">
        <v>0</v>
      </c>
      <c r="I20" s="16">
        <v>3.6000462899999999</v>
      </c>
      <c r="J20" s="16">
        <v>0</v>
      </c>
      <c r="K20" s="16">
        <v>0</v>
      </c>
      <c r="L20" s="16">
        <v>4.1585509999999999E-2</v>
      </c>
      <c r="M20" s="18"/>
    </row>
    <row r="21" spans="1:15">
      <c r="A21" s="10">
        <v>4</v>
      </c>
      <c r="B21" s="55" t="s">
        <v>84</v>
      </c>
      <c r="C21" s="12">
        <f>SUM(D21,G21:L21)</f>
        <v>171.44049888720463</v>
      </c>
      <c r="D21" s="12">
        <f>E21+F21</f>
        <v>121.93995770767233</v>
      </c>
      <c r="E21" s="12">
        <f t="shared" ref="E21:L21" si="7">E22+E25+E26</f>
        <v>28.328502437672341</v>
      </c>
      <c r="F21" s="12">
        <f t="shared" si="7"/>
        <v>93.611455269999993</v>
      </c>
      <c r="G21" s="12">
        <f t="shared" si="7"/>
        <v>16.158171516885243</v>
      </c>
      <c r="H21" s="12">
        <f t="shared" si="7"/>
        <v>16.755133640000007</v>
      </c>
      <c r="I21" s="12">
        <f t="shared" si="7"/>
        <v>17.185146172500005</v>
      </c>
      <c r="J21" s="12">
        <f t="shared" si="7"/>
        <v>2.4999998390895506E-9</v>
      </c>
      <c r="K21" s="12">
        <f t="shared" si="7"/>
        <v>-0.68132464235294066</v>
      </c>
      <c r="L21" s="12">
        <f t="shared" si="7"/>
        <v>8.3414490000000008E-2</v>
      </c>
    </row>
    <row r="22" spans="1:15">
      <c r="A22" s="14" t="s">
        <v>85</v>
      </c>
      <c r="B22" s="53" t="s">
        <v>86</v>
      </c>
      <c r="C22" s="16">
        <f>SUM(D22,G22:L22)</f>
        <v>177.34672475639999</v>
      </c>
      <c r="D22" s="16">
        <f t="shared" si="2"/>
        <v>121.98796309999999</v>
      </c>
      <c r="E22" s="16">
        <f t="shared" ref="E22:L24" si="8">E15-E18</f>
        <v>28.376507829999998</v>
      </c>
      <c r="F22" s="16">
        <f t="shared" si="8"/>
        <v>93.611455269999993</v>
      </c>
      <c r="G22" s="16">
        <f t="shared" si="8"/>
        <v>18.944667046400003</v>
      </c>
      <c r="H22" s="16">
        <f t="shared" si="8"/>
        <v>19.096862060000003</v>
      </c>
      <c r="I22" s="16">
        <f t="shared" si="8"/>
        <v>17.233818060000001</v>
      </c>
      <c r="J22" s="16">
        <f t="shared" si="8"/>
        <v>0</v>
      </c>
      <c r="K22" s="16">
        <f t="shared" si="8"/>
        <v>0</v>
      </c>
      <c r="L22" s="16">
        <f t="shared" si="8"/>
        <v>8.3414490000000008E-2</v>
      </c>
      <c r="M22" s="16"/>
    </row>
    <row r="23" spans="1:15" outlineLevel="1">
      <c r="A23" s="14" t="s">
        <v>87</v>
      </c>
      <c r="B23" s="52" t="s">
        <v>119</v>
      </c>
      <c r="C23" s="16">
        <f>SUM(D23,G23:L23)</f>
        <v>173.79784593639999</v>
      </c>
      <c r="D23" s="16">
        <f t="shared" si="2"/>
        <v>121.98796309999999</v>
      </c>
      <c r="E23" s="16">
        <f t="shared" si="8"/>
        <v>28.376507829999998</v>
      </c>
      <c r="F23" s="16">
        <f t="shared" si="8"/>
        <v>93.611455269999993</v>
      </c>
      <c r="G23" s="16">
        <f t="shared" si="8"/>
        <v>18.944667046399999</v>
      </c>
      <c r="H23" s="16">
        <f t="shared" si="8"/>
        <v>19.096862060000003</v>
      </c>
      <c r="I23" s="16">
        <f t="shared" si="8"/>
        <v>13.768353729999999</v>
      </c>
      <c r="J23" s="16">
        <f t="shared" si="8"/>
        <v>0</v>
      </c>
      <c r="K23" s="16">
        <f t="shared" si="8"/>
        <v>0</v>
      </c>
      <c r="L23" s="16">
        <f t="shared" si="8"/>
        <v>0</v>
      </c>
      <c r="M23" s="16"/>
      <c r="O23" s="13"/>
    </row>
    <row r="24" spans="1:15" outlineLevel="1">
      <c r="A24" s="14" t="s">
        <v>88</v>
      </c>
      <c r="B24" s="52" t="s">
        <v>120</v>
      </c>
      <c r="C24" s="16">
        <f>SUM(D24,G24:L24)</f>
        <v>3.5488788200000005</v>
      </c>
      <c r="D24" s="16">
        <f t="shared" si="2"/>
        <v>0</v>
      </c>
      <c r="E24" s="16">
        <f t="shared" si="8"/>
        <v>0</v>
      </c>
      <c r="F24" s="16">
        <f t="shared" si="8"/>
        <v>0</v>
      </c>
      <c r="G24" s="16">
        <f t="shared" si="8"/>
        <v>0</v>
      </c>
      <c r="H24" s="16">
        <f t="shared" si="8"/>
        <v>0</v>
      </c>
      <c r="I24" s="16">
        <f t="shared" si="8"/>
        <v>3.4654643300000005</v>
      </c>
      <c r="J24" s="16">
        <f t="shared" si="8"/>
        <v>0</v>
      </c>
      <c r="K24" s="16">
        <f t="shared" si="8"/>
        <v>0</v>
      </c>
      <c r="L24" s="16">
        <f t="shared" si="8"/>
        <v>8.3414490000000008E-2</v>
      </c>
    </row>
    <row r="25" spans="1:15">
      <c r="A25" s="14" t="s">
        <v>89</v>
      </c>
      <c r="B25" s="53" t="s">
        <v>90</v>
      </c>
      <c r="C25" s="19">
        <f>SUM(D25,G25:L25)</f>
        <v>-5.9062258691953495</v>
      </c>
      <c r="D25" s="19">
        <f t="shared" si="2"/>
        <v>-4.800539232765666E-2</v>
      </c>
      <c r="E25" s="19">
        <f t="shared" ref="E25:L25" si="9">-(E8-E11-E18+E31)</f>
        <v>-4.8005392327656882E-2</v>
      </c>
      <c r="F25" s="19">
        <f t="shared" si="9"/>
        <v>2.2204460492503131E-16</v>
      </c>
      <c r="G25" s="19">
        <f t="shared" si="9"/>
        <v>-2.7864955295147609</v>
      </c>
      <c r="H25" s="19">
        <f t="shared" si="9"/>
        <v>-2.341728419999995</v>
      </c>
      <c r="I25" s="19">
        <f t="shared" si="9"/>
        <v>-4.8671887499995403E-2</v>
      </c>
      <c r="J25" s="19">
        <f t="shared" si="9"/>
        <v>2.4999998390895506E-9</v>
      </c>
      <c r="K25" s="19">
        <f t="shared" si="9"/>
        <v>-0.68132464235294066</v>
      </c>
      <c r="L25" s="19">
        <f t="shared" si="9"/>
        <v>-1.7347234759768071E-18</v>
      </c>
      <c r="M25" s="19"/>
      <c r="O25" s="13"/>
    </row>
    <row r="26" spans="1:15">
      <c r="A26" s="14" t="s">
        <v>91</v>
      </c>
      <c r="B26" s="53" t="s">
        <v>92</v>
      </c>
      <c r="C26" s="19">
        <f t="shared" si="1"/>
        <v>0</v>
      </c>
      <c r="D26" s="19">
        <f t="shared" si="2"/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</row>
    <row r="27" spans="1:15">
      <c r="A27" s="10">
        <v>5</v>
      </c>
      <c r="B27" s="55" t="s">
        <v>93</v>
      </c>
      <c r="C27" s="12">
        <f t="shared" si="1"/>
        <v>-191.02295864719039</v>
      </c>
      <c r="D27" s="12">
        <f t="shared" si="2"/>
        <v>-136.82382197666254</v>
      </c>
      <c r="E27" s="12">
        <f t="shared" ref="E27:L27" si="10">SUM(E28:E30)</f>
        <v>-37.867430370783602</v>
      </c>
      <c r="F27" s="12">
        <f t="shared" si="10"/>
        <v>-98.956391605878949</v>
      </c>
      <c r="G27" s="12">
        <f t="shared" si="10"/>
        <v>-8.9591254595766312</v>
      </c>
      <c r="H27" s="12">
        <f t="shared" si="10"/>
        <v>-22.276526843312336</v>
      </c>
      <c r="I27" s="12">
        <f t="shared" si="10"/>
        <v>-21.890660460046853</v>
      </c>
      <c r="J27" s="12">
        <f t="shared" si="10"/>
        <v>-4.604072E-2</v>
      </c>
      <c r="K27" s="12">
        <f t="shared" si="10"/>
        <v>-1.0207411675920299</v>
      </c>
      <c r="L27" s="12">
        <f t="shared" si="10"/>
        <v>-6.0420200000000004E-3</v>
      </c>
    </row>
    <row r="28" spans="1:15">
      <c r="A28" s="14" t="s">
        <v>94</v>
      </c>
      <c r="B28" s="53" t="s">
        <v>95</v>
      </c>
      <c r="C28" s="19">
        <f t="shared" si="1"/>
        <v>-160.60787679246337</v>
      </c>
      <c r="D28" s="19">
        <f t="shared" si="2"/>
        <v>-126.21167893000001</v>
      </c>
      <c r="E28" s="19">
        <v>-31.441003010000003</v>
      </c>
      <c r="F28" s="19">
        <v>-94.770675920000002</v>
      </c>
      <c r="G28" s="19">
        <v>0</v>
      </c>
      <c r="H28" s="19">
        <v>-19.096862062447897</v>
      </c>
      <c r="I28" s="19">
        <v>-15.299335800015475</v>
      </c>
      <c r="J28" s="19">
        <v>0</v>
      </c>
      <c r="K28" s="19">
        <v>0</v>
      </c>
      <c r="L28" s="19">
        <v>0</v>
      </c>
    </row>
    <row r="29" spans="1:15">
      <c r="A29" s="14" t="s">
        <v>96</v>
      </c>
      <c r="B29" s="53" t="s">
        <v>97</v>
      </c>
      <c r="C29" s="19">
        <f t="shared" si="1"/>
        <v>-21.506660608990675</v>
      </c>
      <c r="D29" s="19">
        <f t="shared" si="2"/>
        <v>-6.7819439008294236</v>
      </c>
      <c r="E29" s="19">
        <f t="shared" ref="E29:L29" si="11">-E9*0.95*0.8</f>
        <v>-3.6489100627444224</v>
      </c>
      <c r="F29" s="19">
        <f t="shared" si="11"/>
        <v>-3.1330338380850007</v>
      </c>
      <c r="G29" s="19">
        <f t="shared" si="11"/>
        <v>-6.469468041597799</v>
      </c>
      <c r="H29" s="19">
        <f t="shared" si="11"/>
        <v>-2.422132911321218</v>
      </c>
      <c r="I29" s="19">
        <f t="shared" si="11"/>
        <v>-5.1180403550298088</v>
      </c>
      <c r="J29" s="19">
        <f t="shared" si="11"/>
        <v>0</v>
      </c>
      <c r="K29" s="19">
        <f t="shared" si="11"/>
        <v>-0.71507540021242844</v>
      </c>
      <c r="L29" s="19">
        <f t="shared" si="11"/>
        <v>0</v>
      </c>
    </row>
    <row r="30" spans="1:15">
      <c r="A30" s="14" t="s">
        <v>98</v>
      </c>
      <c r="B30" s="53" t="s">
        <v>99</v>
      </c>
      <c r="C30" s="19">
        <f t="shared" si="1"/>
        <v>-8.9084212457363527</v>
      </c>
      <c r="D30" s="19">
        <f t="shared" si="2"/>
        <v>-3.8301991458331273</v>
      </c>
      <c r="E30" s="16">
        <f t="shared" ref="E30:H30" si="12">SUM(E31:E32)</f>
        <v>-2.7775172980391796</v>
      </c>
      <c r="F30" s="16">
        <f>SUM(F31:F32)</f>
        <v>-1.0526818477939475</v>
      </c>
      <c r="G30" s="16">
        <f t="shared" si="12"/>
        <v>-2.4896574179788322</v>
      </c>
      <c r="H30" s="16">
        <f t="shared" si="12"/>
        <v>-0.75753186954322205</v>
      </c>
      <c r="I30" s="16">
        <f t="shared" ref="I30:L30" si="13">SUM(I31:I32)</f>
        <v>-1.4732843050015691</v>
      </c>
      <c r="J30" s="16">
        <f t="shared" si="13"/>
        <v>-4.604072E-2</v>
      </c>
      <c r="K30" s="16">
        <f t="shared" si="13"/>
        <v>-0.30566576737960149</v>
      </c>
      <c r="L30" s="16">
        <f t="shared" si="13"/>
        <v>-6.0420200000000004E-3</v>
      </c>
      <c r="M30" s="17"/>
    </row>
    <row r="31" spans="1:15" outlineLevel="1">
      <c r="A31" s="14" t="s">
        <v>100</v>
      </c>
      <c r="B31" s="52" t="s">
        <v>101</v>
      </c>
      <c r="C31" s="19">
        <f t="shared" si="1"/>
        <v>-7.7764917400000009</v>
      </c>
      <c r="D31" s="19">
        <f t="shared" si="2"/>
        <v>-3.4732547299999998</v>
      </c>
      <c r="E31" s="16">
        <v>-2.5854693999999996</v>
      </c>
      <c r="F31" s="16">
        <v>-0.88778533000000004</v>
      </c>
      <c r="G31" s="16">
        <v>-2.1491591000000008</v>
      </c>
      <c r="H31" s="16">
        <v>-0.63005118999999998</v>
      </c>
      <c r="I31" s="16">
        <v>-1.2039137600000003</v>
      </c>
      <c r="J31" s="16">
        <v>-4.604072E-2</v>
      </c>
      <c r="K31" s="16">
        <v>-0.26803021999999999</v>
      </c>
      <c r="L31" s="16">
        <v>-6.0420200000000004E-3</v>
      </c>
    </row>
    <row r="32" spans="1:15" outlineLevel="1">
      <c r="A32" s="14" t="s">
        <v>102</v>
      </c>
      <c r="B32" s="52" t="s">
        <v>103</v>
      </c>
      <c r="C32" s="19">
        <f t="shared" si="1"/>
        <v>-1.1319295057363516</v>
      </c>
      <c r="D32" s="19">
        <f t="shared" si="2"/>
        <v>-0.35694441583312764</v>
      </c>
      <c r="E32" s="16">
        <f t="shared" ref="E32:L32" si="14">-E9*0.05*0.8</f>
        <v>-0.19204789803918018</v>
      </c>
      <c r="F32" s="16">
        <f t="shared" si="14"/>
        <v>-0.16489651779394743</v>
      </c>
      <c r="G32" s="16">
        <f t="shared" si="14"/>
        <v>-0.34049831797883157</v>
      </c>
      <c r="H32" s="16">
        <f t="shared" si="14"/>
        <v>-0.12748067954322201</v>
      </c>
      <c r="I32" s="16">
        <f t="shared" si="14"/>
        <v>-0.26937054500156887</v>
      </c>
      <c r="J32" s="16">
        <f t="shared" si="14"/>
        <v>0</v>
      </c>
      <c r="K32" s="16">
        <f t="shared" si="14"/>
        <v>-3.7635547379601501E-2</v>
      </c>
      <c r="L32" s="16">
        <f t="shared" si="14"/>
        <v>0</v>
      </c>
    </row>
    <row r="33" spans="1:12">
      <c r="A33" s="10">
        <v>6</v>
      </c>
      <c r="B33" s="55" t="s">
        <v>104</v>
      </c>
      <c r="C33" s="12">
        <f t="shared" si="1"/>
        <v>-10.674038514249411</v>
      </c>
      <c r="D33" s="12">
        <f t="shared" si="2"/>
        <v>-11.053665123157092</v>
      </c>
      <c r="E33" s="12">
        <f t="shared" ref="E33:H33" si="15">SUM(E34:E36)</f>
        <v>-6.7614106350720835</v>
      </c>
      <c r="F33" s="12">
        <f t="shared" si="15"/>
        <v>-4.2922544880850095</v>
      </c>
      <c r="G33" s="12">
        <f t="shared" si="15"/>
        <v>9.6887034752874381</v>
      </c>
      <c r="H33" s="12">
        <f t="shared" si="15"/>
        <v>-4.7638613337691069</v>
      </c>
      <c r="I33" s="12">
        <f t="shared" ref="I33:L33" si="16">SUM(I34:I36)</f>
        <v>-3.2322299825452796</v>
      </c>
      <c r="J33" s="12">
        <f t="shared" si="16"/>
        <v>2.4999998390895506E-9</v>
      </c>
      <c r="K33" s="12">
        <f t="shared" si="16"/>
        <v>-1.3964000425653691</v>
      </c>
      <c r="L33" s="12">
        <f t="shared" si="16"/>
        <v>8.3414490000000008E-2</v>
      </c>
    </row>
    <row r="34" spans="1:12" outlineLevel="1">
      <c r="A34" s="14" t="s">
        <v>105</v>
      </c>
      <c r="B34" s="15" t="s">
        <v>106</v>
      </c>
      <c r="C34" s="19">
        <f t="shared" si="1"/>
        <v>13.189969143936615</v>
      </c>
      <c r="D34" s="19">
        <f t="shared" si="2"/>
        <v>-4.2237158300000139</v>
      </c>
      <c r="E34" s="19">
        <f t="shared" ref="E34:L35" si="17">E28+E23</f>
        <v>-3.0644951800000051</v>
      </c>
      <c r="F34" s="19">
        <f t="shared" si="17"/>
        <v>-1.1592206500000088</v>
      </c>
      <c r="G34" s="19">
        <f t="shared" si="17"/>
        <v>18.944667046399999</v>
      </c>
      <c r="H34" s="19">
        <f t="shared" si="17"/>
        <v>-2.4478943316808E-9</v>
      </c>
      <c r="I34" s="19">
        <f t="shared" si="17"/>
        <v>-1.5309820700154759</v>
      </c>
      <c r="J34" s="19">
        <f t="shared" si="17"/>
        <v>0</v>
      </c>
      <c r="K34" s="19">
        <f t="shared" si="17"/>
        <v>0</v>
      </c>
      <c r="L34" s="19">
        <f t="shared" si="17"/>
        <v>0</v>
      </c>
    </row>
    <row r="35" spans="1:12" outlineLevel="1">
      <c r="A35" s="14" t="s">
        <v>107</v>
      </c>
      <c r="B35" s="15" t="s">
        <v>108</v>
      </c>
      <c r="C35" s="19">
        <f t="shared" si="1"/>
        <v>-17.957781788990676</v>
      </c>
      <c r="D35" s="19">
        <f t="shared" si="2"/>
        <v>-6.7819439008294236</v>
      </c>
      <c r="E35" s="19">
        <f t="shared" si="17"/>
        <v>-3.6489100627444224</v>
      </c>
      <c r="F35" s="19">
        <f t="shared" si="17"/>
        <v>-3.1330338380850007</v>
      </c>
      <c r="G35" s="19">
        <f t="shared" si="17"/>
        <v>-6.469468041597799</v>
      </c>
      <c r="H35" s="19">
        <f t="shared" si="17"/>
        <v>-2.422132911321218</v>
      </c>
      <c r="I35" s="19">
        <f t="shared" si="17"/>
        <v>-1.6525760250298083</v>
      </c>
      <c r="J35" s="19">
        <f t="shared" si="17"/>
        <v>0</v>
      </c>
      <c r="K35" s="19">
        <f t="shared" si="17"/>
        <v>-0.71507540021242844</v>
      </c>
      <c r="L35" s="19">
        <f t="shared" si="17"/>
        <v>8.3414490000000008E-2</v>
      </c>
    </row>
    <row r="36" spans="1:12" outlineLevel="1">
      <c r="A36" s="14" t="s">
        <v>109</v>
      </c>
      <c r="B36" s="15" t="s">
        <v>110</v>
      </c>
      <c r="C36" s="19">
        <f t="shared" si="1"/>
        <v>-5.9062258691953495</v>
      </c>
      <c r="D36" s="19">
        <f t="shared" si="2"/>
        <v>-4.800539232765666E-2</v>
      </c>
      <c r="E36" s="19">
        <f t="shared" ref="E36:L36" si="18">E25+E26</f>
        <v>-4.8005392327656882E-2</v>
      </c>
      <c r="F36" s="19">
        <f t="shared" si="18"/>
        <v>2.2204460492503131E-16</v>
      </c>
      <c r="G36" s="19">
        <f t="shared" si="18"/>
        <v>-2.7864955295147609</v>
      </c>
      <c r="H36" s="19">
        <f t="shared" si="18"/>
        <v>-2.341728419999995</v>
      </c>
      <c r="I36" s="19">
        <f t="shared" si="18"/>
        <v>-4.8671887499995403E-2</v>
      </c>
      <c r="J36" s="19">
        <f t="shared" si="18"/>
        <v>2.4999998390895506E-9</v>
      </c>
      <c r="K36" s="19">
        <f t="shared" si="18"/>
        <v>-0.68132464235294066</v>
      </c>
      <c r="L36" s="19">
        <f t="shared" si="18"/>
        <v>-1.7347234759768071E-18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EF6E4-F559-4D08-B138-E565085E7D0D}">
  <sheetPr>
    <tabColor rgb="FF008C95"/>
    <outlinePr summaryBelow="0" summaryRight="0"/>
  </sheetPr>
  <dimension ref="A1:O35"/>
  <sheetViews>
    <sheetView zoomScale="80" zoomScaleNormal="80" workbookViewId="0">
      <selection activeCell="F26" sqref="F26:F27"/>
    </sheetView>
  </sheetViews>
  <sheetFormatPr defaultRowHeight="14.25" outlineLevelRow="1" outlineLevelCol="1"/>
  <cols>
    <col min="1" max="1" width="5.25" customWidth="1"/>
    <col min="2" max="2" width="38.625" customWidth="1"/>
    <col min="3" max="3" width="8.5" hidden="1" customWidth="1"/>
    <col min="4" max="4" width="10.25" bestFit="1" customWidth="1"/>
    <col min="5" max="6" width="11.5" customWidth="1" outlineLevel="1"/>
    <col min="7" max="8" width="11.5" customWidth="1"/>
    <col min="9" max="12" width="13.625" customWidth="1"/>
    <col min="13" max="13" width="29" customWidth="1"/>
    <col min="15" max="15" width="10.875" customWidth="1"/>
  </cols>
  <sheetData>
    <row r="1" spans="1:15" ht="53.25" customHeight="1">
      <c r="A1" s="1" t="s">
        <v>0</v>
      </c>
      <c r="B1" s="2" t="s">
        <v>1</v>
      </c>
      <c r="C1" s="1" t="s">
        <v>111</v>
      </c>
      <c r="D1" s="1" t="s">
        <v>2</v>
      </c>
      <c r="E1" s="1" t="s">
        <v>2</v>
      </c>
      <c r="F1" s="1" t="s">
        <v>2</v>
      </c>
      <c r="G1" s="3" t="s">
        <v>3</v>
      </c>
      <c r="H1" s="3" t="s">
        <v>3</v>
      </c>
      <c r="I1" s="1" t="s">
        <v>4</v>
      </c>
      <c r="J1" s="1" t="s">
        <v>4</v>
      </c>
      <c r="K1" s="1" t="s">
        <v>4</v>
      </c>
      <c r="L1" s="1" t="s">
        <v>17</v>
      </c>
      <c r="M1" s="5" t="s">
        <v>121</v>
      </c>
      <c r="N1" s="6" t="s">
        <v>26</v>
      </c>
      <c r="O1" s="7">
        <f>'Преза НЗП без НДС'!AO1</f>
        <v>46280</v>
      </c>
    </row>
    <row r="2" spans="1:15" ht="13.5" customHeight="1">
      <c r="A2" s="8"/>
      <c r="B2" s="2" t="s">
        <v>27</v>
      </c>
      <c r="C2" s="1"/>
      <c r="D2" s="3"/>
      <c r="E2" s="1" t="s">
        <v>175</v>
      </c>
      <c r="F2" s="1" t="s">
        <v>176</v>
      </c>
      <c r="G2" s="3" t="s">
        <v>177</v>
      </c>
      <c r="H2" s="3" t="s">
        <v>178</v>
      </c>
      <c r="I2" s="1" t="s">
        <v>179</v>
      </c>
      <c r="J2" s="1" t="s">
        <v>180</v>
      </c>
      <c r="K2" s="1" t="s">
        <v>181</v>
      </c>
      <c r="L2" s="1" t="s">
        <v>197</v>
      </c>
      <c r="M2" s="5"/>
    </row>
    <row r="3" spans="1:15" ht="24">
      <c r="A3" s="8"/>
      <c r="B3" s="2" t="s">
        <v>29</v>
      </c>
      <c r="C3" s="1"/>
      <c r="D3" s="3"/>
      <c r="E3" s="1" t="s">
        <v>31</v>
      </c>
      <c r="F3" s="1" t="s">
        <v>32</v>
      </c>
      <c r="G3" s="1" t="s">
        <v>33</v>
      </c>
      <c r="H3" s="1" t="s">
        <v>34</v>
      </c>
      <c r="I3" s="1" t="s">
        <v>36</v>
      </c>
      <c r="J3" s="1" t="s">
        <v>38</v>
      </c>
      <c r="K3" s="1" t="s">
        <v>38</v>
      </c>
      <c r="L3" s="1" t="s">
        <v>49</v>
      </c>
      <c r="M3" s="5"/>
    </row>
    <row r="4" spans="1:15">
      <c r="A4" s="8"/>
      <c r="B4" s="2" t="s">
        <v>52</v>
      </c>
      <c r="C4" s="1"/>
      <c r="D4" s="3"/>
      <c r="E4" s="1">
        <v>89.79</v>
      </c>
      <c r="F4" s="1">
        <v>80</v>
      </c>
      <c r="G4" s="1">
        <v>91.5</v>
      </c>
      <c r="H4" s="1">
        <v>80</v>
      </c>
      <c r="I4" s="1">
        <v>80</v>
      </c>
      <c r="J4" s="1">
        <v>80</v>
      </c>
      <c r="K4" s="1">
        <v>85</v>
      </c>
      <c r="L4" s="1">
        <v>80</v>
      </c>
      <c r="M4" s="5"/>
    </row>
    <row r="5" spans="1:15">
      <c r="A5" s="10">
        <v>1</v>
      </c>
      <c r="B5" s="55" t="s">
        <v>113</v>
      </c>
      <c r="C5" s="12">
        <f>SUM(D5,G5:L5)</f>
        <v>509.67602455262272</v>
      </c>
      <c r="D5" s="12">
        <f>E5+F5</f>
        <v>234.62338836491406</v>
      </c>
      <c r="E5" s="12">
        <v>64.1186120245072</v>
      </c>
      <c r="F5" s="12">
        <v>170.50477634040686</v>
      </c>
      <c r="G5" s="12">
        <v>76.666909919999981</v>
      </c>
      <c r="H5" s="12">
        <v>104.35443756999999</v>
      </c>
      <c r="I5" s="12">
        <v>75.531076129999988</v>
      </c>
      <c r="J5" s="12">
        <v>1.0341149999999999</v>
      </c>
      <c r="K5" s="12">
        <v>16.593551027708692</v>
      </c>
      <c r="L5" s="12">
        <v>0.87254654000000009</v>
      </c>
    </row>
    <row r="6" spans="1:15">
      <c r="A6" s="10">
        <v>2</v>
      </c>
      <c r="B6" s="55" t="s">
        <v>57</v>
      </c>
      <c r="C6" s="12">
        <f t="shared" ref="C6:C35" si="0">SUM(D6,G6:L6)</f>
        <v>170.55294672322373</v>
      </c>
      <c r="D6" s="12">
        <f t="shared" ref="D6:D35" si="1">E6+F6</f>
        <v>67.425432136744405</v>
      </c>
      <c r="E6" s="12">
        <f t="shared" ref="E6:L6" si="2">E7+E8</f>
        <v>47.880300972606143</v>
      </c>
      <c r="F6" s="12">
        <f t="shared" si="2"/>
        <v>19.545131164138269</v>
      </c>
      <c r="G6" s="12">
        <f t="shared" si="2"/>
        <v>55.942279548746548</v>
      </c>
      <c r="H6" s="12">
        <f t="shared" si="2"/>
        <v>15.817169507033238</v>
      </c>
      <c r="I6" s="12">
        <f t="shared" si="2"/>
        <v>25.34962620650029</v>
      </c>
      <c r="J6" s="12">
        <f t="shared" si="2"/>
        <v>0.75476595999999996</v>
      </c>
      <c r="K6" s="12">
        <f t="shared" si="2"/>
        <v>5.165158464199255</v>
      </c>
      <c r="L6" s="12">
        <f t="shared" si="2"/>
        <v>9.8514899999999989E-2</v>
      </c>
    </row>
    <row r="7" spans="1:15">
      <c r="A7" s="14" t="s">
        <v>58</v>
      </c>
      <c r="B7" s="15" t="s">
        <v>59</v>
      </c>
      <c r="C7" s="16">
        <f t="shared" si="0"/>
        <v>147.35766996633129</v>
      </c>
      <c r="D7" s="16">
        <f t="shared" si="1"/>
        <v>60.110997386065563</v>
      </c>
      <c r="E7" s="16">
        <v>43.94489322590163</v>
      </c>
      <c r="F7" s="16">
        <v>16.166104160163936</v>
      </c>
      <c r="G7" s="16">
        <v>48.964855</v>
      </c>
      <c r="H7" s="16">
        <v>13.204860500000001</v>
      </c>
      <c r="I7" s="16">
        <v>19.829737989255026</v>
      </c>
      <c r="J7" s="16">
        <v>0.75476595999999996</v>
      </c>
      <c r="K7" s="16">
        <v>4.3939382310106998</v>
      </c>
      <c r="L7" s="16">
        <v>9.8514899999999989E-2</v>
      </c>
      <c r="M7" s="17"/>
    </row>
    <row r="8" spans="1:15">
      <c r="A8" s="14" t="s">
        <v>60</v>
      </c>
      <c r="B8" s="15" t="s">
        <v>63</v>
      </c>
      <c r="C8" s="16">
        <f t="shared" si="0"/>
        <v>23.195276756892447</v>
      </c>
      <c r="D8" s="16">
        <f t="shared" si="1"/>
        <v>7.3144347506788439</v>
      </c>
      <c r="E8" s="16">
        <f>'Баланс ФЭК (валюта) с НДС'!E9/1.22</f>
        <v>3.9354077467045112</v>
      </c>
      <c r="F8" s="16">
        <f>'Баланс ФЭК (валюта) с НДС'!F9/1.22</f>
        <v>3.3790270039743322</v>
      </c>
      <c r="G8" s="16">
        <f>'Баланс ФЭК (валюта) с НДС'!G9/1.22</f>
        <v>6.9774245487465478</v>
      </c>
      <c r="H8" s="16">
        <f>'Баланс ФЭК (валюта) с НДС'!H9/1.22</f>
        <v>2.6123090070332373</v>
      </c>
      <c r="I8" s="16">
        <f>'Баланс ФЭК (валюта) с НДС'!I9/1.22</f>
        <v>5.5198882172452635</v>
      </c>
      <c r="J8" s="16">
        <f>'Баланс ФЭК (валюта) с НДС'!J9/1.22</f>
        <v>0</v>
      </c>
      <c r="K8" s="16">
        <f>'Баланс ФЭК (валюта) с НДС'!K9/1.22</f>
        <v>0.77122023318855526</v>
      </c>
      <c r="L8" s="16">
        <f>'Баланс ФЭК (валюта) с НДС'!L9/1.22</f>
        <v>0</v>
      </c>
    </row>
    <row r="9" spans="1:15">
      <c r="A9" s="10">
        <v>3</v>
      </c>
      <c r="B9" s="55" t="s">
        <v>65</v>
      </c>
      <c r="C9" s="12">
        <f t="shared" si="0"/>
        <v>283.78766758607458</v>
      </c>
      <c r="D9" s="12">
        <f t="shared" si="1"/>
        <v>158.93243515386843</v>
      </c>
      <c r="E9" s="12">
        <f>E10+E14</f>
        <v>65.542718448048774</v>
      </c>
      <c r="F9" s="12">
        <f t="shared" ref="F9:L9" si="3">F10+F14</f>
        <v>93.389716705819666</v>
      </c>
      <c r="G9" s="12">
        <f>G10+G14</f>
        <v>60.851833166511838</v>
      </c>
      <c r="H9" s="12">
        <f t="shared" si="3"/>
        <v>26.43186437</v>
      </c>
      <c r="I9" s="12">
        <f t="shared" si="3"/>
        <v>33.071311249016397</v>
      </c>
      <c r="J9" s="12">
        <f t="shared" si="3"/>
        <v>0.71894365516393433</v>
      </c>
      <c r="K9" s="12">
        <f t="shared" si="3"/>
        <v>3.6193450315139821</v>
      </c>
      <c r="L9" s="12">
        <f t="shared" si="3"/>
        <v>0.16193496000000002</v>
      </c>
    </row>
    <row r="10" spans="1:15">
      <c r="A10" s="14" t="s">
        <v>66</v>
      </c>
      <c r="B10" s="53" t="s">
        <v>67</v>
      </c>
      <c r="C10" s="16">
        <f t="shared" si="0"/>
        <v>106.1748718193533</v>
      </c>
      <c r="D10" s="16">
        <f t="shared" si="1"/>
        <v>44.97155000714713</v>
      </c>
      <c r="E10" s="16">
        <f>E11+E12+E13</f>
        <v>37.260735068048774</v>
      </c>
      <c r="F10" s="16">
        <f>F11+F12+F13</f>
        <v>7.7108149390983591</v>
      </c>
      <c r="G10" s="16">
        <f>G11+G12+G13</f>
        <v>31.183507376511841</v>
      </c>
      <c r="H10" s="16">
        <f t="shared" ref="H10:L10" si="4">H11+H12+H13</f>
        <v>10.77869875</v>
      </c>
      <c r="I10" s="16">
        <f t="shared" si="4"/>
        <v>14.843351059016394</v>
      </c>
      <c r="J10" s="16">
        <f t="shared" si="4"/>
        <v>0.71894365516393433</v>
      </c>
      <c r="K10" s="16">
        <f t="shared" si="4"/>
        <v>3.6193450315139821</v>
      </c>
      <c r="L10" s="16">
        <f t="shared" si="4"/>
        <v>5.9475940000000005E-2</v>
      </c>
      <c r="M10" s="13"/>
    </row>
    <row r="11" spans="1:15" outlineLevel="1">
      <c r="A11" s="14" t="s">
        <v>68</v>
      </c>
      <c r="B11" s="52" t="s">
        <v>69</v>
      </c>
      <c r="C11" s="16">
        <f t="shared" si="0"/>
        <v>39.336479869999991</v>
      </c>
      <c r="D11" s="16">
        <f t="shared" si="1"/>
        <v>17.858759169999999</v>
      </c>
      <c r="E11" s="16">
        <v>14.735650549999999</v>
      </c>
      <c r="F11" s="16">
        <v>3.12310862</v>
      </c>
      <c r="G11" s="16">
        <v>14.59850831</v>
      </c>
      <c r="H11" s="16">
        <v>1.2880489499999996</v>
      </c>
      <c r="I11" s="16">
        <v>5.2339008499999995</v>
      </c>
      <c r="J11" s="16">
        <v>0</v>
      </c>
      <c r="K11" s="16">
        <v>0.29778665000000004</v>
      </c>
      <c r="L11" s="16">
        <v>5.9475940000000005E-2</v>
      </c>
      <c r="M11" s="13"/>
    </row>
    <row r="12" spans="1:15" outlineLevel="1">
      <c r="A12" s="14" t="s">
        <v>70</v>
      </c>
      <c r="B12" s="52" t="s">
        <v>71</v>
      </c>
      <c r="C12" s="16">
        <f t="shared" si="0"/>
        <v>60.34537954999999</v>
      </c>
      <c r="D12" s="16">
        <f t="shared" si="1"/>
        <v>24.549942849999997</v>
      </c>
      <c r="E12" s="16">
        <v>16.797983429999999</v>
      </c>
      <c r="F12" s="16">
        <v>7.7519594199999986</v>
      </c>
      <c r="G12" s="25">
        <v>14.79103598</v>
      </c>
      <c r="H12" s="25">
        <v>8.2987731100000008</v>
      </c>
      <c r="I12" s="16">
        <v>8.8514531500000011</v>
      </c>
      <c r="J12" s="16">
        <v>0.61461643999999993</v>
      </c>
      <c r="K12" s="16">
        <v>3.2395580199999996</v>
      </c>
      <c r="L12" s="16">
        <v>0</v>
      </c>
      <c r="M12" s="13"/>
    </row>
    <row r="13" spans="1:15" outlineLevel="1">
      <c r="A13" s="14" t="s">
        <v>72</v>
      </c>
      <c r="B13" s="52" t="s">
        <v>122</v>
      </c>
      <c r="C13" s="16">
        <f>SUM(D13,G13:L13)</f>
        <v>6.4930123993532911</v>
      </c>
      <c r="D13" s="16">
        <f>E13+F13</f>
        <v>2.562847987147141</v>
      </c>
      <c r="E13" s="16">
        <v>5.72710108804878</v>
      </c>
      <c r="F13" s="16">
        <v>-3.164253100901639</v>
      </c>
      <c r="G13" s="16">
        <v>1.7939630865118399</v>
      </c>
      <c r="H13" s="16">
        <v>1.19187669</v>
      </c>
      <c r="I13" s="16">
        <v>0.75799705901639336</v>
      </c>
      <c r="J13" s="16">
        <v>0.10432721516393442</v>
      </c>
      <c r="K13" s="16">
        <v>8.2000361513982642E-2</v>
      </c>
      <c r="L13" s="16">
        <v>0</v>
      </c>
    </row>
    <row r="14" spans="1:15">
      <c r="A14" s="14" t="s">
        <v>74</v>
      </c>
      <c r="B14" s="53" t="s">
        <v>75</v>
      </c>
      <c r="C14" s="16">
        <f t="shared" si="0"/>
        <v>177.61279576672132</v>
      </c>
      <c r="D14" s="16">
        <f t="shared" si="1"/>
        <v>113.96088514672131</v>
      </c>
      <c r="E14" s="16">
        <f t="shared" ref="E14:L14" si="5">E15+E16</f>
        <v>28.28198338</v>
      </c>
      <c r="F14" s="16">
        <f t="shared" si="5"/>
        <v>85.67890176672131</v>
      </c>
      <c r="G14" s="25">
        <f>G15+G16</f>
        <v>29.668325789999997</v>
      </c>
      <c r="H14" s="25">
        <f t="shared" si="5"/>
        <v>15.653165620000001</v>
      </c>
      <c r="I14" s="16">
        <f t="shared" si="5"/>
        <v>18.227960190000005</v>
      </c>
      <c r="J14" s="16">
        <f t="shared" si="5"/>
        <v>0</v>
      </c>
      <c r="K14" s="16">
        <f t="shared" si="5"/>
        <v>0</v>
      </c>
      <c r="L14" s="16">
        <f t="shared" si="5"/>
        <v>0.10245902</v>
      </c>
      <c r="M14" s="13"/>
    </row>
    <row r="15" spans="1:15" outlineLevel="1">
      <c r="A15" s="14" t="s">
        <v>76</v>
      </c>
      <c r="B15" s="52" t="s">
        <v>115</v>
      </c>
      <c r="C15" s="16">
        <f t="shared" si="0"/>
        <v>158.10587302459015</v>
      </c>
      <c r="D15" s="16">
        <f t="shared" si="1"/>
        <v>106.96779146459016</v>
      </c>
      <c r="E15" s="16">
        <v>27.14038068</v>
      </c>
      <c r="F15" s="25">
        <v>79.827410784590157</v>
      </c>
      <c r="G15" s="16">
        <v>23.084074679999997</v>
      </c>
      <c r="H15" s="16">
        <v>15.653165620000001</v>
      </c>
      <c r="I15" s="16">
        <v>12.400841260000002</v>
      </c>
      <c r="J15" s="16">
        <v>0</v>
      </c>
      <c r="K15" s="16">
        <v>0</v>
      </c>
      <c r="L15" s="16">
        <v>0</v>
      </c>
      <c r="M15" s="13"/>
    </row>
    <row r="16" spans="1:15" outlineLevel="1">
      <c r="A16" s="14" t="s">
        <v>78</v>
      </c>
      <c r="B16" s="52" t="s">
        <v>116</v>
      </c>
      <c r="C16" s="16">
        <f t="shared" si="0"/>
        <v>19.506922742131149</v>
      </c>
      <c r="D16" s="16">
        <f t="shared" si="1"/>
        <v>6.9930936821311471</v>
      </c>
      <c r="E16" s="16">
        <v>1.1416027</v>
      </c>
      <c r="F16" s="16">
        <v>5.8514909821311472</v>
      </c>
      <c r="G16" s="16">
        <v>6.5842511099999994</v>
      </c>
      <c r="H16" s="16">
        <v>0</v>
      </c>
      <c r="I16" s="16">
        <v>5.827118930000001</v>
      </c>
      <c r="J16" s="16">
        <v>0</v>
      </c>
      <c r="K16" s="16">
        <v>0</v>
      </c>
      <c r="L16" s="16">
        <v>0.10245902</v>
      </c>
    </row>
    <row r="17" spans="1:13">
      <c r="A17" s="14" t="s">
        <v>80</v>
      </c>
      <c r="B17" s="53" t="s">
        <v>81</v>
      </c>
      <c r="C17" s="16">
        <f t="shared" si="0"/>
        <v>30.370630098468851</v>
      </c>
      <c r="D17" s="16">
        <f t="shared" si="1"/>
        <v>12.417581096999999</v>
      </c>
      <c r="E17" s="16">
        <v>4.6348935066666668</v>
      </c>
      <c r="F17" s="16">
        <v>7.7826875903333335</v>
      </c>
      <c r="G17" s="16">
        <v>13.884835819528959</v>
      </c>
      <c r="H17" s="16">
        <v>5.8207660913467405E-17</v>
      </c>
      <c r="I17" s="16">
        <v>4.0341266983333339</v>
      </c>
      <c r="J17" s="16">
        <v>0</v>
      </c>
      <c r="K17" s="16">
        <v>0</v>
      </c>
      <c r="L17" s="16">
        <v>3.4086483606557375E-2</v>
      </c>
      <c r="M17" s="17"/>
    </row>
    <row r="18" spans="1:13" outlineLevel="1">
      <c r="A18" s="14" t="s">
        <v>82</v>
      </c>
      <c r="B18" s="52" t="s">
        <v>117</v>
      </c>
      <c r="C18" s="16">
        <f t="shared" si="0"/>
        <v>13.626018555532276</v>
      </c>
      <c r="D18" s="16">
        <f t="shared" si="1"/>
        <v>5.4184076099585061</v>
      </c>
      <c r="E18" s="16">
        <v>3.4943899336099586</v>
      </c>
      <c r="F18" s="25">
        <v>1.9240176763485475</v>
      </c>
      <c r="G18" s="16">
        <v>7.1772316177049182</v>
      </c>
      <c r="H18" s="16">
        <v>0</v>
      </c>
      <c r="I18" s="16">
        <v>1.0303793278688524</v>
      </c>
      <c r="J18" s="16">
        <v>0</v>
      </c>
      <c r="K18" s="16">
        <v>0</v>
      </c>
      <c r="L18" s="16">
        <v>0</v>
      </c>
      <c r="M18" s="18"/>
    </row>
    <row r="19" spans="1:13" outlineLevel="1">
      <c r="A19" s="14" t="s">
        <v>83</v>
      </c>
      <c r="B19" s="52" t="s">
        <v>118</v>
      </c>
      <c r="C19" s="16">
        <f t="shared" si="0"/>
        <v>16.744611542936575</v>
      </c>
      <c r="D19" s="16">
        <f t="shared" si="1"/>
        <v>6.9991734870414941</v>
      </c>
      <c r="E19" s="16">
        <f>E17-E18</f>
        <v>1.1405035730567081</v>
      </c>
      <c r="F19" s="16">
        <f t="shared" ref="F19:L19" si="6">F17-F18</f>
        <v>5.8586699139847855</v>
      </c>
      <c r="G19" s="16">
        <f t="shared" si="6"/>
        <v>6.7076042018240409</v>
      </c>
      <c r="H19" s="16">
        <f t="shared" si="6"/>
        <v>5.8207660913467405E-17</v>
      </c>
      <c r="I19" s="16">
        <f t="shared" si="6"/>
        <v>3.0037473704644815</v>
      </c>
      <c r="J19" s="16">
        <f t="shared" si="6"/>
        <v>0</v>
      </c>
      <c r="K19" s="16">
        <f t="shared" si="6"/>
        <v>0</v>
      </c>
      <c r="L19" s="16">
        <f t="shared" si="6"/>
        <v>3.4086483606557375E-2</v>
      </c>
      <c r="M19" s="18"/>
    </row>
    <row r="20" spans="1:13">
      <c r="A20" s="10">
        <v>4</v>
      </c>
      <c r="B20" s="55" t="s">
        <v>84</v>
      </c>
      <c r="C20" s="12">
        <f t="shared" si="0"/>
        <v>142.82451455974331</v>
      </c>
      <c r="D20" s="12">
        <f t="shared" si="1"/>
        <v>101.67693216780287</v>
      </c>
      <c r="E20" s="12">
        <f>E21+E24+E25</f>
        <v>23.724303312147143</v>
      </c>
      <c r="F20" s="12">
        <f t="shared" ref="F20:L20" si="7">F21+F24+F25</f>
        <v>77.952628855655732</v>
      </c>
      <c r="G20" s="12">
        <f t="shared" si="7"/>
        <v>13.655484946511837</v>
      </c>
      <c r="H20" s="12">
        <f t="shared" si="7"/>
        <v>13.743439260000001</v>
      </c>
      <c r="I20" s="12">
        <f t="shared" si="7"/>
        <v>14.233265959761372</v>
      </c>
      <c r="J20" s="12">
        <f t="shared" si="7"/>
        <v>1.9159951639343628E-3</v>
      </c>
      <c r="K20" s="12">
        <f t="shared" si="7"/>
        <v>-0.5548962994967177</v>
      </c>
      <c r="L20" s="12">
        <f t="shared" si="7"/>
        <v>6.8372530000000015E-2</v>
      </c>
    </row>
    <row r="21" spans="1:13">
      <c r="A21" s="14" t="s">
        <v>85</v>
      </c>
      <c r="B21" s="53" t="s">
        <v>86</v>
      </c>
      <c r="C21" s="16">
        <f t="shared" si="0"/>
        <v>147.24216566825245</v>
      </c>
      <c r="D21" s="16">
        <f t="shared" si="1"/>
        <v>101.5433040497213</v>
      </c>
      <c r="E21" s="16">
        <f t="shared" ref="E21:L23" si="8">E14-E17</f>
        <v>23.647089873333332</v>
      </c>
      <c r="F21" s="16">
        <f t="shared" si="8"/>
        <v>77.896214176387971</v>
      </c>
      <c r="G21" s="16">
        <f t="shared" si="8"/>
        <v>15.783489970471038</v>
      </c>
      <c r="H21" s="16">
        <f t="shared" si="8"/>
        <v>15.653165620000001</v>
      </c>
      <c r="I21" s="16">
        <f t="shared" si="8"/>
        <v>14.19383349166667</v>
      </c>
      <c r="J21" s="16">
        <f t="shared" si="8"/>
        <v>0</v>
      </c>
      <c r="K21" s="16">
        <f t="shared" si="8"/>
        <v>0</v>
      </c>
      <c r="L21" s="16">
        <f t="shared" si="8"/>
        <v>6.8372536393442623E-2</v>
      </c>
    </row>
    <row r="22" spans="1:13" outlineLevel="1">
      <c r="A22" s="14" t="s">
        <v>87</v>
      </c>
      <c r="B22" s="52" t="s">
        <v>119</v>
      </c>
      <c r="C22" s="16">
        <f t="shared" si="0"/>
        <v>144.4798544690579</v>
      </c>
      <c r="D22" s="16">
        <f t="shared" si="1"/>
        <v>101.54938385463166</v>
      </c>
      <c r="E22" s="16">
        <f t="shared" si="8"/>
        <v>23.645990746390041</v>
      </c>
      <c r="F22" s="16">
        <f t="shared" si="8"/>
        <v>77.903393108241616</v>
      </c>
      <c r="G22" s="16">
        <f t="shared" si="8"/>
        <v>15.906843062295078</v>
      </c>
      <c r="H22" s="16">
        <f t="shared" si="8"/>
        <v>15.653165620000001</v>
      </c>
      <c r="I22" s="16">
        <f t="shared" si="8"/>
        <v>11.37046193213115</v>
      </c>
      <c r="J22" s="16">
        <f t="shared" si="8"/>
        <v>0</v>
      </c>
      <c r="K22" s="16">
        <f t="shared" si="8"/>
        <v>0</v>
      </c>
      <c r="L22" s="16">
        <f t="shared" si="8"/>
        <v>0</v>
      </c>
      <c r="M22" s="27">
        <f>F22+5.9</f>
        <v>83.803393108241622</v>
      </c>
    </row>
    <row r="23" spans="1:13" outlineLevel="1">
      <c r="A23" s="14" t="s">
        <v>88</v>
      </c>
      <c r="B23" s="52" t="s">
        <v>120</v>
      </c>
      <c r="C23" s="16">
        <f t="shared" si="0"/>
        <v>2.7623111991945741</v>
      </c>
      <c r="D23" s="25">
        <f t="shared" si="1"/>
        <v>-6.0798049103465424E-3</v>
      </c>
      <c r="E23" s="25">
        <f t="shared" si="8"/>
        <v>1.0991269432918394E-3</v>
      </c>
      <c r="F23" s="25">
        <f t="shared" si="8"/>
        <v>-7.1789318536383817E-3</v>
      </c>
      <c r="G23" s="16">
        <f t="shared" si="8"/>
        <v>-0.12335309182404153</v>
      </c>
      <c r="H23" s="16">
        <f t="shared" si="8"/>
        <v>-5.8207660913467405E-17</v>
      </c>
      <c r="I23" s="16">
        <f t="shared" si="8"/>
        <v>2.8233715595355195</v>
      </c>
      <c r="J23" s="16">
        <f t="shared" si="8"/>
        <v>0</v>
      </c>
      <c r="K23" s="16">
        <f t="shared" si="8"/>
        <v>0</v>
      </c>
      <c r="L23" s="16">
        <f t="shared" si="8"/>
        <v>6.8372536393442623E-2</v>
      </c>
    </row>
    <row r="24" spans="1:13">
      <c r="A24" s="14" t="s">
        <v>89</v>
      </c>
      <c r="B24" s="53" t="s">
        <v>90</v>
      </c>
      <c r="C24" s="19">
        <f t="shared" si="0"/>
        <v>-4.4176511085091565</v>
      </c>
      <c r="D24" s="19">
        <f>E24+F24</f>
        <v>0.13362811808156771</v>
      </c>
      <c r="E24" s="19">
        <f t="shared" ref="E24:L24" si="9">-(E7-E10-E17+E30)</f>
        <v>7.7213438813811042E-2</v>
      </c>
      <c r="F24" s="19">
        <f t="shared" si="9"/>
        <v>5.6414679267756673E-2</v>
      </c>
      <c r="G24" s="19">
        <f t="shared" si="9"/>
        <v>-2.1280050239591999</v>
      </c>
      <c r="H24" s="19">
        <f t="shared" si="9"/>
        <v>-1.9097263600000003</v>
      </c>
      <c r="I24" s="19">
        <f t="shared" si="9"/>
        <v>3.9432468094701467E-2</v>
      </c>
      <c r="J24" s="19">
        <f t="shared" si="9"/>
        <v>1.9159951639343628E-3</v>
      </c>
      <c r="K24" s="19">
        <f t="shared" si="9"/>
        <v>-0.5548962994967177</v>
      </c>
      <c r="L24" s="19">
        <f t="shared" si="9"/>
        <v>-6.3934426086653673E-9</v>
      </c>
    </row>
    <row r="25" spans="1:13">
      <c r="A25" s="14" t="s">
        <v>91</v>
      </c>
      <c r="B25" s="53" t="s">
        <v>92</v>
      </c>
      <c r="C25" s="19">
        <f t="shared" si="0"/>
        <v>0</v>
      </c>
      <c r="D25" s="19">
        <f t="shared" si="1"/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</row>
    <row r="26" spans="1:13">
      <c r="A26" s="10">
        <v>5</v>
      </c>
      <c r="B26" s="55" t="s">
        <v>93</v>
      </c>
      <c r="C26" s="12">
        <f t="shared" si="0"/>
        <v>-156.5965389950741</v>
      </c>
      <c r="D26" s="12">
        <f t="shared" si="1"/>
        <v>-112.15923804480538</v>
      </c>
      <c r="E26" s="12">
        <f t="shared" ref="E26:L26" si="10">SUM(E27:E29)</f>
        <v>-31.046118229986561</v>
      </c>
      <c r="F26" s="12">
        <f t="shared" si="10"/>
        <v>-81.113119814818816</v>
      </c>
      <c r="G26" s="12">
        <f t="shared" si="10"/>
        <v>-7.3504464189972385</v>
      </c>
      <c r="H26" s="12">
        <f t="shared" si="10"/>
        <v>-18.259448220583881</v>
      </c>
      <c r="I26" s="12">
        <f t="shared" si="10"/>
        <v>-17.948042454136765</v>
      </c>
      <c r="J26" s="12">
        <f t="shared" si="10"/>
        <v>-3.7738299999999995E-2</v>
      </c>
      <c r="K26" s="12">
        <f t="shared" si="10"/>
        <v>-0.83667308655084427</v>
      </c>
      <c r="L26" s="12">
        <f t="shared" si="10"/>
        <v>-4.9524700000000005E-3</v>
      </c>
    </row>
    <row r="27" spans="1:13">
      <c r="A27" s="14" t="s">
        <v>94</v>
      </c>
      <c r="B27" s="53" t="s">
        <v>95</v>
      </c>
      <c r="C27" s="19">
        <f t="shared" si="0"/>
        <v>-131.64580064956016</v>
      </c>
      <c r="D27" s="19">
        <f t="shared" si="1"/>
        <v>-103.45219584426231</v>
      </c>
      <c r="E27" s="19">
        <v>-25.771313942622953</v>
      </c>
      <c r="F27" s="19">
        <v>-77.680881901639353</v>
      </c>
      <c r="G27" s="19">
        <v>0</v>
      </c>
      <c r="H27" s="19">
        <v>-15.653165624957293</v>
      </c>
      <c r="I27" s="19">
        <v>-12.540439180340554</v>
      </c>
      <c r="J27" s="19">
        <v>0</v>
      </c>
      <c r="K27" s="19">
        <v>0</v>
      </c>
      <c r="L27" s="19">
        <v>0</v>
      </c>
    </row>
    <row r="28" spans="1:13">
      <c r="A28" s="14" t="s">
        <v>96</v>
      </c>
      <c r="B28" s="53" t="s">
        <v>97</v>
      </c>
      <c r="C28" s="19">
        <f t="shared" si="0"/>
        <v>-17.628410335238261</v>
      </c>
      <c r="D28" s="19">
        <f t="shared" si="1"/>
        <v>-5.5589704105159212</v>
      </c>
      <c r="E28" s="19">
        <f t="shared" ref="E28:L28" si="11">-E8*0.95*0.8</f>
        <v>-2.9909098874954285</v>
      </c>
      <c r="F28" s="19">
        <f t="shared" si="11"/>
        <v>-2.5680605230204927</v>
      </c>
      <c r="G28" s="19">
        <f t="shared" si="11"/>
        <v>-5.3028426570473766</v>
      </c>
      <c r="H28" s="19">
        <f t="shared" si="11"/>
        <v>-1.9853548453452605</v>
      </c>
      <c r="I28" s="19">
        <f t="shared" si="11"/>
        <v>-4.1951150451064008</v>
      </c>
      <c r="J28" s="19">
        <f t="shared" si="11"/>
        <v>0</v>
      </c>
      <c r="K28" s="19">
        <f t="shared" si="11"/>
        <v>-0.58612737722330199</v>
      </c>
      <c r="L28" s="19">
        <f t="shared" si="11"/>
        <v>0</v>
      </c>
    </row>
    <row r="29" spans="1:13">
      <c r="A29" s="14" t="s">
        <v>98</v>
      </c>
      <c r="B29" s="53" t="s">
        <v>99</v>
      </c>
      <c r="C29" s="19">
        <f t="shared" si="0"/>
        <v>-7.3223280102756991</v>
      </c>
      <c r="D29" s="19">
        <f t="shared" si="1"/>
        <v>-3.1480717900271546</v>
      </c>
      <c r="E29" s="16">
        <f t="shared" ref="E29:H29" si="12">SUM(E30:E31)</f>
        <v>-2.2838943998681809</v>
      </c>
      <c r="F29" s="16">
        <f t="shared" si="12"/>
        <v>-0.86417739015897355</v>
      </c>
      <c r="G29" s="16">
        <f t="shared" si="12"/>
        <v>-2.0476037619498619</v>
      </c>
      <c r="H29" s="16">
        <f t="shared" si="12"/>
        <v>-0.62092775028132952</v>
      </c>
      <c r="I29" s="16">
        <f t="shared" ref="I29:L29" si="13">SUM(I30:I31)</f>
        <v>-1.2124882286898104</v>
      </c>
      <c r="J29" s="16">
        <f t="shared" si="13"/>
        <v>-3.7738299999999995E-2</v>
      </c>
      <c r="K29" s="16">
        <f t="shared" si="13"/>
        <v>-0.25054570932754222</v>
      </c>
      <c r="L29" s="16">
        <f t="shared" si="13"/>
        <v>-4.9524700000000005E-3</v>
      </c>
    </row>
    <row r="30" spans="1:13" outlineLevel="1">
      <c r="A30" s="14" t="s">
        <v>100</v>
      </c>
      <c r="B30" s="52" t="s">
        <v>101</v>
      </c>
      <c r="C30" s="19">
        <f t="shared" si="0"/>
        <v>-6.3945169399999999</v>
      </c>
      <c r="D30" s="19">
        <f t="shared" si="1"/>
        <v>-2.8554944000000004</v>
      </c>
      <c r="E30" s="16">
        <v>-2.1264780900000004</v>
      </c>
      <c r="F30" s="16">
        <v>-0.72901631000000022</v>
      </c>
      <c r="G30" s="16">
        <v>-1.7685067800000001</v>
      </c>
      <c r="H30" s="16">
        <v>-0.51643539000000005</v>
      </c>
      <c r="I30" s="16">
        <v>-0.99169269999999987</v>
      </c>
      <c r="J30" s="16">
        <v>-3.7738299999999995E-2</v>
      </c>
      <c r="K30" s="16">
        <v>-0.2196969</v>
      </c>
      <c r="L30" s="16">
        <v>-4.9524700000000005E-3</v>
      </c>
    </row>
    <row r="31" spans="1:13" outlineLevel="1">
      <c r="A31" s="14" t="s">
        <v>102</v>
      </c>
      <c r="B31" s="52" t="s">
        <v>103</v>
      </c>
      <c r="C31" s="19">
        <f t="shared" si="0"/>
        <v>-0.92781107027569787</v>
      </c>
      <c r="D31" s="19">
        <f t="shared" si="1"/>
        <v>-0.29257739002715377</v>
      </c>
      <c r="E31" s="16">
        <f t="shared" ref="E31:L31" si="14">-E8*0.05*0.8</f>
        <v>-0.15741630986818045</v>
      </c>
      <c r="F31" s="16">
        <f t="shared" si="14"/>
        <v>-0.1351610801589733</v>
      </c>
      <c r="G31" s="16">
        <f t="shared" si="14"/>
        <v>-0.27909698194986193</v>
      </c>
      <c r="H31" s="16">
        <f t="shared" si="14"/>
        <v>-0.10449236028132949</v>
      </c>
      <c r="I31" s="16">
        <f t="shared" si="14"/>
        <v>-0.22079552868981056</v>
      </c>
      <c r="J31" s="16">
        <f t="shared" si="14"/>
        <v>0</v>
      </c>
      <c r="K31" s="16">
        <f t="shared" si="14"/>
        <v>-3.0848809327542217E-2</v>
      </c>
      <c r="L31" s="16">
        <f t="shared" si="14"/>
        <v>0</v>
      </c>
    </row>
    <row r="32" spans="1:13">
      <c r="A32" s="10">
        <v>6</v>
      </c>
      <c r="B32" s="55" t="s">
        <v>104</v>
      </c>
      <c r="C32" s="12">
        <f t="shared" si="0"/>
        <v>-6.4496964250551132</v>
      </c>
      <c r="D32" s="12">
        <f t="shared" si="1"/>
        <v>-7.33423408697535</v>
      </c>
      <c r="E32" s="12">
        <f t="shared" ref="E32:H32" si="15">SUM(E33:E35)</f>
        <v>-5.037920517971239</v>
      </c>
      <c r="F32" s="12">
        <f t="shared" si="15"/>
        <v>-2.296313569004111</v>
      </c>
      <c r="G32" s="12">
        <f t="shared" si="15"/>
        <v>8.352642289464459</v>
      </c>
      <c r="H32" s="12">
        <f t="shared" si="15"/>
        <v>-3.8950812103025525</v>
      </c>
      <c r="I32" s="12">
        <f t="shared" ref="I32:L32" si="16">SUM(I33:I35)</f>
        <v>-2.5022882656855843</v>
      </c>
      <c r="J32" s="12">
        <f t="shared" si="16"/>
        <v>1.9159951639343628E-3</v>
      </c>
      <c r="K32" s="12">
        <f t="shared" si="16"/>
        <v>-1.1410236767200197</v>
      </c>
      <c r="L32" s="12">
        <f t="shared" si="16"/>
        <v>6.8372530000000015E-2</v>
      </c>
    </row>
    <row r="33" spans="1:12" outlineLevel="1">
      <c r="A33" s="14" t="s">
        <v>105</v>
      </c>
      <c r="B33" s="15" t="s">
        <v>106</v>
      </c>
      <c r="C33" s="19">
        <f t="shared" si="0"/>
        <v>12.834053819497733</v>
      </c>
      <c r="D33" s="19">
        <f t="shared" si="1"/>
        <v>-1.9028119896306492</v>
      </c>
      <c r="E33" s="19">
        <f t="shared" ref="E33:L34" si="17">E27+E22</f>
        <v>-2.1253231962329124</v>
      </c>
      <c r="F33" s="19">
        <f t="shared" si="17"/>
        <v>0.2225112066022632</v>
      </c>
      <c r="G33" s="19">
        <f t="shared" si="17"/>
        <v>15.906843062295078</v>
      </c>
      <c r="H33" s="19">
        <f t="shared" si="17"/>
        <v>-4.9572914662121548E-9</v>
      </c>
      <c r="I33" s="19">
        <f t="shared" si="17"/>
        <v>-1.1699772482094044</v>
      </c>
      <c r="J33" s="19">
        <f t="shared" si="17"/>
        <v>0</v>
      </c>
      <c r="K33" s="19">
        <f t="shared" si="17"/>
        <v>0</v>
      </c>
      <c r="L33" s="19">
        <f t="shared" si="17"/>
        <v>0</v>
      </c>
    </row>
    <row r="34" spans="1:12" outlineLevel="1">
      <c r="A34" s="14" t="s">
        <v>107</v>
      </c>
      <c r="B34" s="15" t="s">
        <v>108</v>
      </c>
      <c r="C34" s="19">
        <f t="shared" si="0"/>
        <v>-14.866099136043688</v>
      </c>
      <c r="D34" s="19">
        <f t="shared" si="1"/>
        <v>-5.5650502154262682</v>
      </c>
      <c r="E34" s="19">
        <f t="shared" si="17"/>
        <v>-2.9898107605521367</v>
      </c>
      <c r="F34" s="19">
        <f t="shared" si="17"/>
        <v>-2.5752394548741311</v>
      </c>
      <c r="G34" s="19">
        <f t="shared" si="17"/>
        <v>-5.4261957488714181</v>
      </c>
      <c r="H34" s="19">
        <f t="shared" si="17"/>
        <v>-1.9853548453452605</v>
      </c>
      <c r="I34" s="19">
        <f t="shared" si="17"/>
        <v>-1.3717434855708812</v>
      </c>
      <c r="J34" s="19">
        <f t="shared" si="17"/>
        <v>0</v>
      </c>
      <c r="K34" s="19">
        <f t="shared" si="17"/>
        <v>-0.58612737722330199</v>
      </c>
      <c r="L34" s="19">
        <f t="shared" si="17"/>
        <v>6.8372536393442623E-2</v>
      </c>
    </row>
    <row r="35" spans="1:12" outlineLevel="1">
      <c r="A35" s="14" t="s">
        <v>109</v>
      </c>
      <c r="B35" s="15" t="s">
        <v>110</v>
      </c>
      <c r="C35" s="19">
        <f t="shared" si="0"/>
        <v>-4.4176511085091565</v>
      </c>
      <c r="D35" s="19">
        <f t="shared" si="1"/>
        <v>0.13362811808156771</v>
      </c>
      <c r="E35" s="19">
        <f t="shared" ref="E35:L35" si="18">E24+E25</f>
        <v>7.7213438813811042E-2</v>
      </c>
      <c r="F35" s="19">
        <f t="shared" si="18"/>
        <v>5.6414679267756673E-2</v>
      </c>
      <c r="G35" s="19">
        <f t="shared" si="18"/>
        <v>-2.1280050239591999</v>
      </c>
      <c r="H35" s="19">
        <f t="shared" si="18"/>
        <v>-1.9097263600000003</v>
      </c>
      <c r="I35" s="19">
        <f t="shared" si="18"/>
        <v>3.9432468094701467E-2</v>
      </c>
      <c r="J35" s="19">
        <f t="shared" si="18"/>
        <v>1.9159951639343628E-3</v>
      </c>
      <c r="K35" s="19">
        <f t="shared" si="18"/>
        <v>-0.5548962994967177</v>
      </c>
      <c r="L35" s="19">
        <f t="shared" si="18"/>
        <v>-6.3934426086653673E-9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B50FC-CBD5-4012-8B5B-1120943B14B2}">
  <sheetPr>
    <tabColor rgb="FF008C95"/>
    <outlinePr summaryBelow="0" summaryRight="0"/>
  </sheetPr>
  <dimension ref="A1:AO69"/>
  <sheetViews>
    <sheetView zoomScale="80" zoomScaleNormal="80" workbookViewId="0">
      <selection activeCell="E21" sqref="E21"/>
    </sheetView>
  </sheetViews>
  <sheetFormatPr defaultRowHeight="14.25" outlineLevelCol="1"/>
  <cols>
    <col min="1" max="1" width="5.25" customWidth="1"/>
    <col min="2" max="2" width="32.375" customWidth="1"/>
    <col min="3" max="3" width="11.25" customWidth="1"/>
    <col min="4" max="4" width="11.5" customWidth="1"/>
    <col min="5" max="6" width="11.5" customWidth="1" outlineLevel="1"/>
    <col min="7" max="8" width="11.5" customWidth="1"/>
    <col min="9" max="11" width="13.625" customWidth="1"/>
    <col min="12" max="13" width="11.5" customWidth="1"/>
    <col min="14" max="14" width="11.25" customWidth="1"/>
    <col min="15" max="17" width="11.5" customWidth="1"/>
    <col min="18" max="19" width="11.5" customWidth="1" outlineLevel="1"/>
    <col min="20" max="20" width="11.5" customWidth="1"/>
    <col min="21" max="23" width="11.5" customWidth="1" outlineLevel="1"/>
    <col min="24" max="25" width="11.5" customWidth="1"/>
    <col min="26" max="27" width="11.5" customWidth="1" outlineLevel="1"/>
    <col min="28" max="28" width="16.375" customWidth="1"/>
    <col min="29" max="34" width="11.5" customWidth="1"/>
    <col min="35" max="35" width="12.375" customWidth="1"/>
    <col min="36" max="36" width="11.5" customWidth="1"/>
    <col min="37" max="37" width="12.375" customWidth="1"/>
    <col min="38" max="38" width="11.5" customWidth="1"/>
    <col min="39" max="39" width="29" customWidth="1"/>
    <col min="41" max="41" width="10.875" customWidth="1"/>
  </cols>
  <sheetData>
    <row r="1" spans="1:41" ht="53.25" customHeight="1">
      <c r="A1" s="1" t="s">
        <v>0</v>
      </c>
      <c r="B1" s="2" t="s">
        <v>1</v>
      </c>
      <c r="C1" s="1" t="s">
        <v>123</v>
      </c>
      <c r="D1" s="1" t="s">
        <v>2</v>
      </c>
      <c r="E1" s="1" t="s">
        <v>2</v>
      </c>
      <c r="F1" s="1" t="s">
        <v>2</v>
      </c>
      <c r="G1" s="3" t="s">
        <v>3</v>
      </c>
      <c r="H1" s="3" t="s">
        <v>3</v>
      </c>
      <c r="I1" s="1" t="s">
        <v>4</v>
      </c>
      <c r="J1" s="1" t="s">
        <v>4</v>
      </c>
      <c r="K1" s="1" t="s">
        <v>4</v>
      </c>
      <c r="L1" s="1" t="s">
        <v>5</v>
      </c>
      <c r="M1" s="1" t="s">
        <v>6</v>
      </c>
      <c r="N1" s="3" t="s">
        <v>173</v>
      </c>
      <c r="O1" s="1" t="s">
        <v>174</v>
      </c>
      <c r="P1" s="1" t="s">
        <v>7</v>
      </c>
      <c r="Q1" s="4" t="s">
        <v>10</v>
      </c>
      <c r="R1" s="1" t="s">
        <v>10</v>
      </c>
      <c r="S1" s="1" t="s">
        <v>10</v>
      </c>
      <c r="T1" s="4" t="s">
        <v>13</v>
      </c>
      <c r="U1" s="1" t="s">
        <v>11</v>
      </c>
      <c r="V1" s="1" t="s">
        <v>12</v>
      </c>
      <c r="W1" s="1" t="s">
        <v>13</v>
      </c>
      <c r="X1" s="1" t="s">
        <v>14</v>
      </c>
      <c r="Y1" s="3" t="s">
        <v>15</v>
      </c>
      <c r="Z1" s="3" t="s">
        <v>15</v>
      </c>
      <c r="AA1" s="3" t="s">
        <v>15</v>
      </c>
      <c r="AB1" s="1" t="s">
        <v>16</v>
      </c>
      <c r="AC1" s="1" t="s">
        <v>18</v>
      </c>
      <c r="AD1" s="1" t="s">
        <v>18</v>
      </c>
      <c r="AE1" s="1" t="s">
        <v>19</v>
      </c>
      <c r="AF1" s="1" t="s">
        <v>124</v>
      </c>
      <c r="AG1" s="1" t="s">
        <v>124</v>
      </c>
      <c r="AH1" s="1" t="s">
        <v>124</v>
      </c>
      <c r="AI1" s="1" t="s">
        <v>23</v>
      </c>
      <c r="AJ1" s="1" t="s">
        <v>21</v>
      </c>
      <c r="AK1" s="1" t="s">
        <v>8</v>
      </c>
      <c r="AL1" s="1" t="s">
        <v>22</v>
      </c>
      <c r="AM1" s="5" t="s">
        <v>125</v>
      </c>
      <c r="AN1" s="6" t="s">
        <v>26</v>
      </c>
      <c r="AO1" s="28">
        <v>46280</v>
      </c>
    </row>
    <row r="2" spans="1:41" ht="13.5" customHeight="1">
      <c r="A2" s="8"/>
      <c r="B2" s="2"/>
      <c r="C2" s="1"/>
      <c r="D2" s="3"/>
      <c r="E2" s="1" t="s">
        <v>175</v>
      </c>
      <c r="F2" s="1" t="s">
        <v>176</v>
      </c>
      <c r="G2" s="3" t="s">
        <v>177</v>
      </c>
      <c r="H2" s="3" t="s">
        <v>178</v>
      </c>
      <c r="I2" s="1" t="s">
        <v>179</v>
      </c>
      <c r="J2" s="1" t="s">
        <v>180</v>
      </c>
      <c r="K2" s="1" t="s">
        <v>181</v>
      </c>
      <c r="L2" s="2" t="s">
        <v>182</v>
      </c>
      <c r="M2" s="2" t="s">
        <v>183</v>
      </c>
      <c r="N2" s="3" t="s">
        <v>187</v>
      </c>
      <c r="O2" s="1" t="s">
        <v>188</v>
      </c>
      <c r="P2" s="2" t="s">
        <v>185</v>
      </c>
      <c r="Q2" s="1"/>
      <c r="R2" s="1" t="s">
        <v>189</v>
      </c>
      <c r="S2" s="1" t="s">
        <v>190</v>
      </c>
      <c r="T2" s="1"/>
      <c r="U2" s="1" t="s">
        <v>191</v>
      </c>
      <c r="V2" s="1" t="s">
        <v>28</v>
      </c>
      <c r="W2" s="1" t="s">
        <v>192</v>
      </c>
      <c r="X2" s="2" t="s">
        <v>193</v>
      </c>
      <c r="Y2" s="9"/>
      <c r="Z2" s="9" t="s">
        <v>194</v>
      </c>
      <c r="AA2" s="9" t="s">
        <v>195</v>
      </c>
      <c r="AB2" s="2" t="s">
        <v>196</v>
      </c>
      <c r="AC2" s="2" t="s">
        <v>198</v>
      </c>
      <c r="AD2" s="2" t="s">
        <v>199</v>
      </c>
      <c r="AE2" s="2" t="s">
        <v>200</v>
      </c>
      <c r="AF2" s="2" t="s">
        <v>206</v>
      </c>
      <c r="AG2" s="2" t="s">
        <v>207</v>
      </c>
      <c r="AH2" s="2" t="s">
        <v>208</v>
      </c>
      <c r="AI2" s="1" t="s">
        <v>204</v>
      </c>
      <c r="AJ2" s="2" t="s">
        <v>202</v>
      </c>
      <c r="AK2" s="1" t="s">
        <v>186</v>
      </c>
      <c r="AL2" s="2" t="s">
        <v>203</v>
      </c>
      <c r="AM2" s="5"/>
    </row>
    <row r="3" spans="1:41" ht="24">
      <c r="A3" s="8"/>
      <c r="B3" s="2" t="s">
        <v>29</v>
      </c>
      <c r="C3" s="1"/>
      <c r="D3" s="3"/>
      <c r="E3" s="1" t="s">
        <v>31</v>
      </c>
      <c r="F3" s="1" t="s">
        <v>32</v>
      </c>
      <c r="G3" s="1" t="s">
        <v>33</v>
      </c>
      <c r="H3" s="1" t="s">
        <v>34</v>
      </c>
      <c r="I3" s="1" t="s">
        <v>36</v>
      </c>
      <c r="J3" s="1" t="s">
        <v>126</v>
      </c>
      <c r="K3" s="1" t="s">
        <v>38</v>
      </c>
      <c r="L3" s="2" t="s">
        <v>39</v>
      </c>
      <c r="M3" s="2"/>
      <c r="N3" s="1" t="s">
        <v>45</v>
      </c>
      <c r="O3" s="1" t="s">
        <v>45</v>
      </c>
      <c r="P3" s="2" t="s">
        <v>43</v>
      </c>
      <c r="Q3" s="1"/>
      <c r="R3" s="1" t="s">
        <v>45</v>
      </c>
      <c r="S3" s="1" t="s">
        <v>46</v>
      </c>
      <c r="T3" s="1"/>
      <c r="U3" s="1" t="s">
        <v>47</v>
      </c>
      <c r="V3" s="1" t="s">
        <v>48</v>
      </c>
      <c r="W3" s="1" t="s">
        <v>46</v>
      </c>
      <c r="X3" s="2"/>
      <c r="Y3" s="2"/>
      <c r="Z3" s="1" t="s">
        <v>45</v>
      </c>
      <c r="AA3" s="1" t="s">
        <v>46</v>
      </c>
      <c r="AB3" s="2"/>
      <c r="AC3" s="2"/>
      <c r="AD3" s="2"/>
      <c r="AE3" s="2"/>
      <c r="AF3" s="2"/>
      <c r="AG3" s="2"/>
      <c r="AH3" s="2"/>
      <c r="AI3" s="1" t="s">
        <v>50</v>
      </c>
      <c r="AJ3" s="2"/>
      <c r="AK3" s="1" t="s">
        <v>44</v>
      </c>
      <c r="AL3" s="2"/>
      <c r="AM3" s="5"/>
    </row>
    <row r="4" spans="1:41">
      <c r="A4" s="8"/>
      <c r="B4" s="2" t="s">
        <v>52</v>
      </c>
      <c r="C4" s="1"/>
      <c r="D4" s="3"/>
      <c r="E4" s="1">
        <v>89.79</v>
      </c>
      <c r="F4" s="1">
        <v>80</v>
      </c>
      <c r="G4" s="1">
        <v>91.5</v>
      </c>
      <c r="H4" s="1">
        <v>80</v>
      </c>
      <c r="I4" s="1">
        <v>80</v>
      </c>
      <c r="J4" s="1">
        <v>80</v>
      </c>
      <c r="K4" s="1">
        <v>85</v>
      </c>
      <c r="L4" s="2">
        <v>1</v>
      </c>
      <c r="M4" s="3">
        <v>1</v>
      </c>
      <c r="N4" s="3">
        <v>1</v>
      </c>
      <c r="O4" s="3">
        <v>1</v>
      </c>
      <c r="P4" s="2">
        <v>1</v>
      </c>
      <c r="Q4" s="1"/>
      <c r="R4" s="3">
        <v>1</v>
      </c>
      <c r="S4" s="3">
        <v>1</v>
      </c>
      <c r="T4" s="1"/>
      <c r="U4" s="3">
        <v>1</v>
      </c>
      <c r="V4" s="3">
        <v>1</v>
      </c>
      <c r="W4" s="3">
        <v>1</v>
      </c>
      <c r="X4" s="3">
        <v>1</v>
      </c>
      <c r="Y4" s="9"/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  <c r="AG4" s="3">
        <v>1</v>
      </c>
      <c r="AH4" s="3">
        <v>1</v>
      </c>
      <c r="AI4" s="1">
        <v>1</v>
      </c>
      <c r="AJ4" s="3">
        <v>1</v>
      </c>
      <c r="AK4" s="1">
        <v>1</v>
      </c>
      <c r="AL4" s="3">
        <v>1</v>
      </c>
      <c r="AM4" s="5"/>
    </row>
    <row r="5" spans="1:41">
      <c r="A5" s="10">
        <v>1</v>
      </c>
      <c r="B5" s="55" t="s">
        <v>113</v>
      </c>
      <c r="C5" s="29">
        <f>SUM(N5:Q5,T5,X5:Y5,G5,D5,L5:AI5)</f>
        <v>56216.297545835492</v>
      </c>
      <c r="D5" s="29">
        <f>E5+F5</f>
        <v>17181.07089088939</v>
      </c>
      <c r="E5" s="29">
        <v>6206.1601736804805</v>
      </c>
      <c r="F5" s="29">
        <v>10974.91071720891</v>
      </c>
      <c r="G5" s="29">
        <v>7015.022257981127</v>
      </c>
      <c r="H5" s="29">
        <v>8387.09966934371</v>
      </c>
      <c r="I5" s="29">
        <v>6198.0332211129107</v>
      </c>
      <c r="J5" s="29">
        <v>100.929624</v>
      </c>
      <c r="K5" s="29">
        <v>1898.4179978048114</v>
      </c>
      <c r="L5" s="29">
        <v>9110.914467393266</v>
      </c>
      <c r="M5" s="29">
        <v>4546.6238820146482</v>
      </c>
      <c r="N5" s="29">
        <v>1137.9020465722476</v>
      </c>
      <c r="O5" s="29">
        <v>419.82269700000001</v>
      </c>
      <c r="P5" s="29">
        <v>3013.3477477458182</v>
      </c>
      <c r="Q5" s="29">
        <v>1605.12</v>
      </c>
      <c r="R5" s="29">
        <v>497.44458352666567</v>
      </c>
      <c r="S5" s="29">
        <v>497.44458352666567</v>
      </c>
      <c r="T5" s="29">
        <f>SUM(U5:W5)</f>
        <v>225.60021163050527</v>
      </c>
      <c r="U5" s="29">
        <v>58.717439324668774</v>
      </c>
      <c r="V5" s="29">
        <v>95.194727275304189</v>
      </c>
      <c r="W5" s="29">
        <v>71.688045030532294</v>
      </c>
      <c r="X5" s="29">
        <v>685.88078890999998</v>
      </c>
      <c r="Y5" s="29">
        <f>Z5+AA5</f>
        <v>629.69974514</v>
      </c>
      <c r="Z5" s="29">
        <v>597.01902786000005</v>
      </c>
      <c r="AA5" s="29">
        <v>32.680717280000003</v>
      </c>
      <c r="AB5" s="29">
        <v>316.66287699999998</v>
      </c>
      <c r="AC5" s="29">
        <v>144.15474171999992</v>
      </c>
      <c r="AD5" s="29">
        <v>34.119970649999999</v>
      </c>
      <c r="AE5" s="29">
        <v>40.625316929999997</v>
      </c>
      <c r="AF5" s="29">
        <v>29.623627312</v>
      </c>
      <c r="AG5" s="29">
        <v>18.829092784493799</v>
      </c>
      <c r="AH5" s="29">
        <v>130.12092426000001</v>
      </c>
      <c r="AI5" s="29">
        <v>363.59389907958507</v>
      </c>
      <c r="AJ5" s="29">
        <v>29.78563235</v>
      </c>
      <c r="AK5" s="29">
        <v>2921.6901081399997</v>
      </c>
      <c r="AL5" s="29">
        <v>230.12225467328477</v>
      </c>
    </row>
    <row r="6" spans="1:41">
      <c r="A6" s="10">
        <v>2</v>
      </c>
      <c r="B6" s="55" t="s">
        <v>57</v>
      </c>
      <c r="C6" s="29">
        <f>SUM(N6:Q6,T6,X6:Y6,G6,D6,L6:AI6)</f>
        <v>25612.19365975439</v>
      </c>
      <c r="D6" s="29">
        <f t="shared" ref="D6:D26" si="0">E6+F6</f>
        <v>5861.940934804381</v>
      </c>
      <c r="E6" s="29">
        <v>4286.0271841913527</v>
      </c>
      <c r="F6" s="29">
        <v>1575.9137506130285</v>
      </c>
      <c r="G6" s="29">
        <v>5103.4449719726044</v>
      </c>
      <c r="H6" s="29">
        <v>1276.2775814151182</v>
      </c>
      <c r="I6" s="29">
        <v>2028.7256361173263</v>
      </c>
      <c r="J6" s="29">
        <f t="shared" ref="J6" si="1">J7+J8</f>
        <v>58.626260080000002</v>
      </c>
      <c r="K6" s="29">
        <v>435.28087127184682</v>
      </c>
      <c r="L6" s="29">
        <v>2268.0884088657099</v>
      </c>
      <c r="M6" s="29">
        <v>1215.1725870551641</v>
      </c>
      <c r="N6" s="29">
        <v>770</v>
      </c>
      <c r="O6" s="29">
        <v>336.06927733999999</v>
      </c>
      <c r="P6" s="29">
        <v>572.4846466653571</v>
      </c>
      <c r="Q6" s="29">
        <v>1242.354</v>
      </c>
      <c r="R6" s="29">
        <v>367.0011595902144</v>
      </c>
      <c r="S6" s="29">
        <v>361.77218412120141</v>
      </c>
      <c r="T6" s="29">
        <f t="shared" ref="T6:T8" si="2">SUM(U6:W6)</f>
        <v>214.98885651146662</v>
      </c>
      <c r="U6" s="29">
        <v>55.071738965466672</v>
      </c>
      <c r="V6" s="29">
        <v>88.374454678999967</v>
      </c>
      <c r="W6" s="29">
        <v>71.542662867000004</v>
      </c>
      <c r="X6" s="29">
        <v>681</v>
      </c>
      <c r="Y6" s="29">
        <f t="shared" ref="Y6:Y8" si="3">Z6+AA6</f>
        <v>595.99699859999998</v>
      </c>
      <c r="Z6" s="29">
        <v>560</v>
      </c>
      <c r="AA6" s="29">
        <f>AA7+AA8</f>
        <v>35.996998600000005</v>
      </c>
      <c r="AB6" s="29">
        <v>315</v>
      </c>
      <c r="AC6" s="29">
        <v>103</v>
      </c>
      <c r="AD6" s="29">
        <v>46</v>
      </c>
      <c r="AE6" s="29">
        <v>51</v>
      </c>
      <c r="AF6" s="29">
        <v>8</v>
      </c>
      <c r="AG6" s="29">
        <v>83</v>
      </c>
      <c r="AH6" s="29">
        <v>66</v>
      </c>
      <c r="AI6" s="29">
        <v>126</v>
      </c>
      <c r="AJ6" s="29">
        <v>17</v>
      </c>
      <c r="AK6" s="29">
        <v>82.434183704825799</v>
      </c>
      <c r="AL6" s="29">
        <f>AL7+AL8</f>
        <v>9.95337754</v>
      </c>
    </row>
    <row r="7" spans="1:41">
      <c r="A7" s="14" t="s">
        <v>58</v>
      </c>
      <c r="B7" s="53" t="s">
        <v>59</v>
      </c>
      <c r="C7" s="16">
        <f>SUM(N7:Q7,T7,X7:Y7,G7,D7,L7:AI7)</f>
        <v>24029.684410112412</v>
      </c>
      <c r="D7" s="16">
        <f t="shared" si="0"/>
        <v>5241.5777559575408</v>
      </c>
      <c r="E7" s="16">
        <v>3945.8119614044267</v>
      </c>
      <c r="F7" s="16">
        <v>1295.7657945531143</v>
      </c>
      <c r="G7" s="16">
        <v>4480.2842325299998</v>
      </c>
      <c r="H7" s="16">
        <v>1067.2928608600002</v>
      </c>
      <c r="I7" s="16">
        <v>1556.6765053549998</v>
      </c>
      <c r="J7" s="16">
        <v>58.626260080000002</v>
      </c>
      <c r="K7" s="16">
        <v>345.52626742000001</v>
      </c>
      <c r="L7" s="16">
        <v>1737.9923338300002</v>
      </c>
      <c r="M7" s="16">
        <v>1070.5368186999999</v>
      </c>
      <c r="N7" s="16">
        <v>660.26947533999999</v>
      </c>
      <c r="O7" s="16">
        <v>335.76927734000003</v>
      </c>
      <c r="P7" s="16">
        <v>432.19951640360648</v>
      </c>
      <c r="Q7" s="16">
        <f t="shared" ref="Q7" si="4">R7+S7</f>
        <v>1322.4964673100001</v>
      </c>
      <c r="R7" s="16">
        <v>956.74052356000016</v>
      </c>
      <c r="S7" s="16">
        <v>365.75594374999997</v>
      </c>
      <c r="T7" s="16">
        <f t="shared" si="2"/>
        <v>214.40194808320001</v>
      </c>
      <c r="U7" s="16">
        <v>55.071857403199992</v>
      </c>
      <c r="V7" s="16">
        <v>87.78742385000001</v>
      </c>
      <c r="W7" s="16">
        <v>71.542666830000002</v>
      </c>
      <c r="X7" s="16">
        <v>681.47709558000008</v>
      </c>
      <c r="Y7" s="16">
        <f t="shared" si="3"/>
        <v>607.35710134999999</v>
      </c>
      <c r="Z7" s="16">
        <v>571.36010275000001</v>
      </c>
      <c r="AA7" s="16">
        <v>35.996998600000005</v>
      </c>
      <c r="AB7" s="16">
        <v>314.78820329999996</v>
      </c>
      <c r="AC7" s="16">
        <v>102.7518526811749</v>
      </c>
      <c r="AD7" s="16">
        <v>46.058759894098358</v>
      </c>
      <c r="AE7" s="16">
        <v>50.827604960000002</v>
      </c>
      <c r="AF7" s="16">
        <v>8.2055968400000001</v>
      </c>
      <c r="AG7" s="16">
        <v>82.964133959999998</v>
      </c>
      <c r="AH7" s="16">
        <v>86.410762832786887</v>
      </c>
      <c r="AI7" s="16">
        <v>155.08907507000001</v>
      </c>
      <c r="AJ7" s="16">
        <v>18.095673530000003</v>
      </c>
      <c r="AK7" s="16">
        <v>19.695792860000001</v>
      </c>
      <c r="AL7" s="16">
        <v>9.95337754</v>
      </c>
      <c r="AM7" s="17"/>
    </row>
    <row r="8" spans="1:41">
      <c r="A8" s="14" t="s">
        <v>60</v>
      </c>
      <c r="B8" s="53" t="s">
        <v>63</v>
      </c>
      <c r="C8" s="16">
        <f>SUM(N8:Q8,T8,X8:Y8,G8,D8,L8:AI8)</f>
        <v>131.99999999999983</v>
      </c>
      <c r="D8" s="16">
        <f t="shared" si="0"/>
        <v>0</v>
      </c>
      <c r="E8" s="16">
        <f>E30</f>
        <v>0</v>
      </c>
      <c r="F8" s="16">
        <f t="shared" ref="F8:O8" si="5">F30</f>
        <v>0</v>
      </c>
      <c r="G8" s="16">
        <f t="shared" si="5"/>
        <v>0</v>
      </c>
      <c r="H8" s="16">
        <f t="shared" si="5"/>
        <v>0</v>
      </c>
      <c r="I8" s="16">
        <f t="shared" si="5"/>
        <v>0</v>
      </c>
      <c r="J8" s="16">
        <f t="shared" si="5"/>
        <v>0</v>
      </c>
      <c r="K8" s="16">
        <f t="shared" si="5"/>
        <v>0</v>
      </c>
      <c r="L8" s="16">
        <f t="shared" si="5"/>
        <v>0</v>
      </c>
      <c r="M8" s="16">
        <f t="shared" si="5"/>
        <v>0</v>
      </c>
      <c r="N8" s="16">
        <f t="shared" si="5"/>
        <v>0</v>
      </c>
      <c r="O8" s="16">
        <f t="shared" si="5"/>
        <v>0</v>
      </c>
      <c r="P8" s="16">
        <f>P30</f>
        <v>0</v>
      </c>
      <c r="Q8" s="16">
        <f>R8+S8</f>
        <v>0</v>
      </c>
      <c r="R8" s="16">
        <f>R30</f>
        <v>0</v>
      </c>
      <c r="S8" s="16">
        <f>S30</f>
        <v>0</v>
      </c>
      <c r="T8" s="16">
        <f t="shared" si="2"/>
        <v>0</v>
      </c>
      <c r="U8" s="16">
        <f t="shared" ref="U8:AH8" si="6">U30</f>
        <v>0</v>
      </c>
      <c r="V8" s="16">
        <f t="shared" si="6"/>
        <v>0</v>
      </c>
      <c r="W8" s="16">
        <f t="shared" si="6"/>
        <v>0</v>
      </c>
      <c r="X8" s="16">
        <f t="shared" si="6"/>
        <v>0</v>
      </c>
      <c r="Y8" s="16">
        <f t="shared" si="3"/>
        <v>43.999999999999943</v>
      </c>
      <c r="Z8" s="16">
        <v>43.999999999999943</v>
      </c>
      <c r="AA8" s="16">
        <f>AA30</f>
        <v>0</v>
      </c>
      <c r="AB8" s="16">
        <f>AB30</f>
        <v>0</v>
      </c>
      <c r="AC8" s="16">
        <f t="shared" si="6"/>
        <v>0</v>
      </c>
      <c r="AD8" s="16">
        <f t="shared" si="6"/>
        <v>0</v>
      </c>
      <c r="AE8" s="16">
        <f>AE30</f>
        <v>0</v>
      </c>
      <c r="AF8" s="16">
        <f t="shared" si="6"/>
        <v>0</v>
      </c>
      <c r="AG8" s="16">
        <f t="shared" si="6"/>
        <v>0</v>
      </c>
      <c r="AH8" s="16">
        <f t="shared" si="6"/>
        <v>0</v>
      </c>
      <c r="AI8" s="16">
        <f>AI30</f>
        <v>0</v>
      </c>
      <c r="AJ8" s="16">
        <f>AJ30</f>
        <v>0</v>
      </c>
      <c r="AK8" s="16">
        <f>AK30</f>
        <v>0</v>
      </c>
      <c r="AL8" s="16">
        <f>AL30</f>
        <v>0</v>
      </c>
    </row>
    <row r="9" spans="1:41" s="32" customFormat="1">
      <c r="A9" s="30" t="s">
        <v>62</v>
      </c>
      <c r="B9" s="56" t="s">
        <v>127</v>
      </c>
      <c r="C9" s="31">
        <f t="shared" ref="C9:L9" si="7">IFERROR(C8/C6,)</f>
        <v>5.1537951709078895E-3</v>
      </c>
      <c r="D9" s="31">
        <f t="shared" si="7"/>
        <v>0</v>
      </c>
      <c r="E9" s="31">
        <f t="shared" si="7"/>
        <v>0</v>
      </c>
      <c r="F9" s="31">
        <f t="shared" si="7"/>
        <v>0</v>
      </c>
      <c r="G9" s="31">
        <f t="shared" si="7"/>
        <v>0</v>
      </c>
      <c r="H9" s="31">
        <f t="shared" si="7"/>
        <v>0</v>
      </c>
      <c r="I9" s="31">
        <f t="shared" si="7"/>
        <v>0</v>
      </c>
      <c r="J9" s="31">
        <f t="shared" si="7"/>
        <v>0</v>
      </c>
      <c r="K9" s="31">
        <f t="shared" si="7"/>
        <v>0</v>
      </c>
      <c r="L9" s="31">
        <f t="shared" si="7"/>
        <v>0</v>
      </c>
      <c r="M9" s="31">
        <f>IFERROR(M8/M6,)</f>
        <v>0</v>
      </c>
      <c r="N9" s="31">
        <f t="shared" ref="N9:O9" si="8">IFERROR(N8/N6,)</f>
        <v>0</v>
      </c>
      <c r="O9" s="31">
        <f t="shared" si="8"/>
        <v>0</v>
      </c>
      <c r="P9" s="31">
        <f>IFERROR(P8/P6,)</f>
        <v>0</v>
      </c>
      <c r="Q9" s="31">
        <f t="shared" ref="Q9:S9" si="9">IFERROR(Q8/Q6,)</f>
        <v>0</v>
      </c>
      <c r="R9" s="31">
        <f t="shared" si="9"/>
        <v>0</v>
      </c>
      <c r="S9" s="31">
        <f t="shared" si="9"/>
        <v>0</v>
      </c>
      <c r="T9" s="31">
        <f>IFERROR(T8/T6,)</f>
        <v>0</v>
      </c>
      <c r="U9" s="31">
        <f t="shared" ref="U9:AD9" si="10">IFERROR(U8/U6,)</f>
        <v>0</v>
      </c>
      <c r="V9" s="31">
        <f t="shared" si="10"/>
        <v>0</v>
      </c>
      <c r="W9" s="31">
        <f t="shared" si="10"/>
        <v>0</v>
      </c>
      <c r="X9" s="31">
        <f t="shared" si="10"/>
        <v>0</v>
      </c>
      <c r="Y9" s="31">
        <f>IFERROR(Y8/Y6,)</f>
        <v>7.382587513587513E-2</v>
      </c>
      <c r="Z9" s="31">
        <f t="shared" ref="Z9" si="11">IFERROR(Z8/Z6,)</f>
        <v>7.8571428571428473E-2</v>
      </c>
      <c r="AA9" s="31">
        <f>IFERROR(AA8/AA6,)</f>
        <v>0</v>
      </c>
      <c r="AB9" s="31">
        <f t="shared" ref="AB9" si="12">IFERROR(AB8/AB6,)</f>
        <v>0</v>
      </c>
      <c r="AC9" s="31">
        <f t="shared" si="10"/>
        <v>0</v>
      </c>
      <c r="AD9" s="31">
        <f t="shared" si="10"/>
        <v>0</v>
      </c>
      <c r="AE9" s="31">
        <f>IFERROR(AE8/AE6,)</f>
        <v>0</v>
      </c>
      <c r="AF9" s="31">
        <f t="shared" ref="AF9:AI9" si="13">IFERROR(AF8/AF6,)</f>
        <v>0</v>
      </c>
      <c r="AG9" s="31">
        <f t="shared" si="13"/>
        <v>0</v>
      </c>
      <c r="AH9" s="31">
        <f t="shared" si="13"/>
        <v>0</v>
      </c>
      <c r="AI9" s="31">
        <f t="shared" si="13"/>
        <v>0</v>
      </c>
      <c r="AJ9" s="31">
        <f>IFERROR(AJ8/AJ6,)</f>
        <v>0</v>
      </c>
      <c r="AK9" s="31">
        <f t="shared" ref="AK9" si="14">IFERROR(AK8/AK6,)</f>
        <v>0</v>
      </c>
      <c r="AL9" s="31">
        <f>IFERROR(AL8/AL6,)</f>
        <v>0</v>
      </c>
    </row>
    <row r="10" spans="1:41">
      <c r="A10" s="10">
        <v>3</v>
      </c>
      <c r="B10" s="57" t="s">
        <v>128</v>
      </c>
      <c r="C10" s="12">
        <f>SUM(N10:Q10,T10,X10:Y10,G10,D10,L10:AI10)</f>
        <v>0</v>
      </c>
      <c r="D10" s="12">
        <f t="shared" si="0"/>
        <v>0</v>
      </c>
      <c r="E10" s="12">
        <v>0</v>
      </c>
      <c r="F10" s="12">
        <v>0</v>
      </c>
      <c r="G10" s="12">
        <v>0</v>
      </c>
      <c r="H10" s="12">
        <v>0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f t="shared" ref="Q10:Q26" si="15">R10+S10</f>
        <v>0</v>
      </c>
      <c r="R10" s="12">
        <v>0</v>
      </c>
      <c r="S10" s="12">
        <v>0</v>
      </c>
      <c r="T10" s="12">
        <f t="shared" ref="T10:T26" si="16">SUM(U10:W10)</f>
        <v>0</v>
      </c>
      <c r="U10" s="12">
        <v>0</v>
      </c>
      <c r="V10" s="12">
        <v>0</v>
      </c>
      <c r="W10" s="12">
        <v>0</v>
      </c>
      <c r="X10" s="12">
        <v>0</v>
      </c>
      <c r="Y10" s="12">
        <f t="shared" ref="Y10:Y26" si="17">Z10+AA10</f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</row>
    <row r="11" spans="1:41">
      <c r="A11" s="10">
        <v>4</v>
      </c>
      <c r="B11" s="55" t="s">
        <v>129</v>
      </c>
      <c r="C11" s="12">
        <f>SUM(N11:Q11,T11,X11:Y11,G11,D11,L11:AI11)</f>
        <v>35303.426270339398</v>
      </c>
      <c r="D11" s="12">
        <f t="shared" si="0"/>
        <v>13405.816792307553</v>
      </c>
      <c r="E11" s="12">
        <f>SUM(E12:E14,E16)</f>
        <v>5883.36524618575</v>
      </c>
      <c r="F11" s="12">
        <f>SUM(F12:F14,F16)</f>
        <v>7522.4515461218025</v>
      </c>
      <c r="G11" s="12">
        <f>SUM(G12:G14,G16)</f>
        <v>5571.4572819483337</v>
      </c>
      <c r="H11" s="12">
        <f t="shared" ref="H11:K11" si="18">SUM(H12:H14,H16)</f>
        <v>1977.25700459</v>
      </c>
      <c r="I11" s="12">
        <f t="shared" si="18"/>
        <v>2663.0892622360661</v>
      </c>
      <c r="J11" s="12">
        <f t="shared" si="18"/>
        <v>58.023471853114756</v>
      </c>
      <c r="K11" s="12">
        <f t="shared" si="18"/>
        <v>308.11947355000001</v>
      </c>
      <c r="L11" s="12">
        <f>SUM(L12:L14,L16)</f>
        <v>3807.03019361</v>
      </c>
      <c r="M11" s="12">
        <f>SUM(M12:M14,M16)</f>
        <v>1601.5039443160656</v>
      </c>
      <c r="N11" s="12">
        <f t="shared" ref="N11:O11" si="19">SUM(N12:N14,N16)</f>
        <v>593.06930955999985</v>
      </c>
      <c r="O11" s="12">
        <f t="shared" si="19"/>
        <v>302.10800932000001</v>
      </c>
      <c r="P11" s="12">
        <f>SUM(P12:P14,P16)</f>
        <v>411.03424041000005</v>
      </c>
      <c r="Q11" s="12">
        <f t="shared" si="15"/>
        <v>1362.5561068067486</v>
      </c>
      <c r="R11" s="12">
        <f t="shared" ref="R11:S11" si="20">SUM(R12:R14,R16)</f>
        <v>1077.1006170823771</v>
      </c>
      <c r="S11" s="12">
        <f t="shared" si="20"/>
        <v>285.45548972437155</v>
      </c>
      <c r="T11" s="12">
        <f t="shared" si="16"/>
        <v>203.01673407786885</v>
      </c>
      <c r="U11" s="12">
        <f t="shared" ref="U11:AD11" si="21">SUM(U12:U14,U16)</f>
        <v>52.399821959999997</v>
      </c>
      <c r="V11" s="12">
        <f t="shared" si="21"/>
        <v>79.074245287868848</v>
      </c>
      <c r="W11" s="12">
        <f t="shared" si="21"/>
        <v>71.542666830000002</v>
      </c>
      <c r="X11" s="12">
        <f t="shared" si="21"/>
        <v>694.70803273999991</v>
      </c>
      <c r="Y11" s="12">
        <f t="shared" si="17"/>
        <v>490.11835477999995</v>
      </c>
      <c r="Z11" s="12">
        <f t="shared" ref="Z11" si="22">SUM(Z12:Z14,Z16)</f>
        <v>460.70570921999996</v>
      </c>
      <c r="AA11" s="12">
        <f>SUM(AA12:AA14,AA16)</f>
        <v>29.412645559999998</v>
      </c>
      <c r="AB11" s="12">
        <f t="shared" ref="AB11" si="23">SUM(AB12:AB14,AB16)</f>
        <v>300.17191680360662</v>
      </c>
      <c r="AC11" s="12">
        <f t="shared" si="21"/>
        <v>85.615963479999991</v>
      </c>
      <c r="AD11" s="12">
        <f t="shared" si="21"/>
        <v>39.163116690000003</v>
      </c>
      <c r="AE11" s="12">
        <f>SUM(AE12:AE14,AE16)</f>
        <v>45.794844459999993</v>
      </c>
      <c r="AF11" s="12">
        <f t="shared" ref="AF11:AI11" si="24">SUM(AF12:AF14,AF16)</f>
        <v>7.7976955400000003</v>
      </c>
      <c r="AG11" s="12">
        <f t="shared" si="24"/>
        <v>79.159625640000002</v>
      </c>
      <c r="AH11" s="12">
        <f t="shared" si="24"/>
        <v>65.513024020000003</v>
      </c>
      <c r="AI11" s="12">
        <f t="shared" si="24"/>
        <v>125.48910046999998</v>
      </c>
      <c r="AJ11" s="12">
        <f>SUM(AJ12:AJ14,AJ16)</f>
        <v>16.419933309999998</v>
      </c>
      <c r="AK11" s="12">
        <f t="shared" ref="AK11" si="25">SUM(AK12:AK14,AK16)</f>
        <v>877.72993239999994</v>
      </c>
      <c r="AL11" s="12">
        <f>SUM(AL12:AL14,AL16)</f>
        <v>8.9580397899999991</v>
      </c>
    </row>
    <row r="12" spans="1:41">
      <c r="A12" s="14" t="s">
        <v>87</v>
      </c>
      <c r="B12" s="53" t="s">
        <v>67</v>
      </c>
      <c r="C12" s="16">
        <f>SUM(N12:Q12,T12,X12:Y12,G12,D12,L12:AI12)</f>
        <v>9692.3853404517085</v>
      </c>
      <c r="D12" s="16">
        <f t="shared" si="0"/>
        <v>1785.4397162298485</v>
      </c>
      <c r="E12" s="16">
        <v>1835.6350285757501</v>
      </c>
      <c r="F12" s="16">
        <v>-50.195312345901641</v>
      </c>
      <c r="G12" s="16">
        <v>1499.9111174183338</v>
      </c>
      <c r="H12" s="16">
        <v>187.45870375000001</v>
      </c>
      <c r="I12" s="16">
        <v>485.82212442606561</v>
      </c>
      <c r="J12" s="16">
        <v>8.3461772131147534</v>
      </c>
      <c r="K12" s="16">
        <v>32.338655250000002</v>
      </c>
      <c r="L12" s="16">
        <v>61.301987259999997</v>
      </c>
      <c r="M12" s="16">
        <v>63.845408176065568</v>
      </c>
      <c r="N12" s="16">
        <v>593.06930955999985</v>
      </c>
      <c r="O12" s="16">
        <v>302.10800932000001</v>
      </c>
      <c r="P12" s="16">
        <v>77.717165510000015</v>
      </c>
      <c r="Q12" s="16">
        <f t="shared" si="15"/>
        <v>545.03596683674857</v>
      </c>
      <c r="R12" s="16">
        <v>465.49328722237703</v>
      </c>
      <c r="S12" s="16">
        <v>79.542679614371579</v>
      </c>
      <c r="T12" s="16">
        <f t="shared" si="16"/>
        <v>171.42068726786886</v>
      </c>
      <c r="U12" s="16">
        <v>52.399821959999997</v>
      </c>
      <c r="V12" s="16">
        <v>66.749456957868844</v>
      </c>
      <c r="W12" s="16">
        <v>52.271408350000002</v>
      </c>
      <c r="X12" s="16">
        <v>251.36558107999997</v>
      </c>
      <c r="Y12" s="16">
        <f t="shared" si="17"/>
        <v>330.11835477999995</v>
      </c>
      <c r="Z12" s="16">
        <v>300.70570921999996</v>
      </c>
      <c r="AA12" s="16">
        <v>29.412645559999998</v>
      </c>
      <c r="AB12" s="16">
        <v>265.9419168036066</v>
      </c>
      <c r="AC12" s="16">
        <v>85.615963479999991</v>
      </c>
      <c r="AD12" s="16">
        <v>39.163116690000003</v>
      </c>
      <c r="AE12" s="16">
        <v>37.461511129999991</v>
      </c>
      <c r="AF12" s="16">
        <v>7.7976955400000003</v>
      </c>
      <c r="AG12" s="16">
        <v>79.159625640000002</v>
      </c>
      <c r="AH12" s="16">
        <v>65.513024020000003</v>
      </c>
      <c r="AI12" s="16">
        <v>112.98910046999998</v>
      </c>
      <c r="AJ12" s="16">
        <v>16.419933309999998</v>
      </c>
      <c r="AK12" s="16">
        <v>1.2229000000000001</v>
      </c>
      <c r="AL12" s="16">
        <v>8.9580397899999991</v>
      </c>
      <c r="AM12" s="13"/>
    </row>
    <row r="13" spans="1:41" s="36" customFormat="1">
      <c r="A13" s="33" t="s">
        <v>88</v>
      </c>
      <c r="B13" s="58" t="s">
        <v>130</v>
      </c>
      <c r="C13" s="34"/>
      <c r="D13" s="34">
        <f>E13+F13</f>
        <v>2129.5132759200001</v>
      </c>
      <c r="E13" s="34">
        <v>1508.2909305300002</v>
      </c>
      <c r="F13" s="34">
        <v>621.22234538999999</v>
      </c>
      <c r="G13" s="34">
        <v>1353.3797916300002</v>
      </c>
      <c r="H13" s="34">
        <v>672.60839078999993</v>
      </c>
      <c r="I13" s="34">
        <v>713.0285713200002</v>
      </c>
      <c r="J13" s="34">
        <v>49.67729464</v>
      </c>
      <c r="K13" s="34">
        <v>275.78081830000002</v>
      </c>
      <c r="L13" s="34">
        <v>1087.03910045</v>
      </c>
      <c r="M13" s="34">
        <v>798.63734074000001</v>
      </c>
      <c r="N13" s="34">
        <v>0</v>
      </c>
      <c r="O13" s="34">
        <v>0</v>
      </c>
      <c r="P13" s="34">
        <v>286.59576343000003</v>
      </c>
      <c r="Q13" s="34"/>
      <c r="R13" s="34">
        <v>171.28283920999999</v>
      </c>
      <c r="S13" s="34">
        <v>28.597963839999998</v>
      </c>
      <c r="T13" s="34"/>
      <c r="U13" s="34">
        <v>0</v>
      </c>
      <c r="V13" s="34">
        <v>0</v>
      </c>
      <c r="W13" s="34">
        <v>0</v>
      </c>
      <c r="X13" s="34">
        <v>0</v>
      </c>
      <c r="Y13" s="34">
        <f>Z13+AA13</f>
        <v>0</v>
      </c>
      <c r="Z13" s="34">
        <v>0</v>
      </c>
      <c r="AA13" s="34">
        <v>0</v>
      </c>
      <c r="AB13" s="34">
        <v>0</v>
      </c>
      <c r="AC13" s="34">
        <v>0</v>
      </c>
      <c r="AD13" s="34">
        <v>0</v>
      </c>
      <c r="AE13" s="34">
        <v>0</v>
      </c>
      <c r="AF13" s="34">
        <v>0</v>
      </c>
      <c r="AG13" s="34">
        <v>0</v>
      </c>
      <c r="AH13" s="34">
        <v>0</v>
      </c>
      <c r="AI13" s="34">
        <v>0</v>
      </c>
      <c r="AJ13" s="34">
        <v>0</v>
      </c>
      <c r="AK13" s="34">
        <v>0</v>
      </c>
      <c r="AL13" s="34">
        <v>0</v>
      </c>
      <c r="AM13" s="35"/>
    </row>
    <row r="14" spans="1:41">
      <c r="A14" s="14" t="s">
        <v>89</v>
      </c>
      <c r="B14" s="53" t="s">
        <v>115</v>
      </c>
      <c r="C14" s="16">
        <f t="shared" ref="C14:C26" si="26">SUM(N14:Q14,T14,X14:Y14,G14,D14,L14:AI14)</f>
        <v>15552.364547627212</v>
      </c>
      <c r="D14" s="16">
        <f t="shared" si="0"/>
        <v>8866.9885166772128</v>
      </c>
      <c r="E14" s="16">
        <v>2436.93478065</v>
      </c>
      <c r="F14" s="16">
        <v>6430.0537360272128</v>
      </c>
      <c r="G14" s="16">
        <v>2115.7073963199996</v>
      </c>
      <c r="H14" s="16">
        <v>1117.18991005</v>
      </c>
      <c r="I14" s="16">
        <v>995.76047481000001</v>
      </c>
      <c r="J14" s="16">
        <v>0</v>
      </c>
      <c r="K14" s="16">
        <v>0</v>
      </c>
      <c r="L14" s="16">
        <v>2658.6891059</v>
      </c>
      <c r="M14" s="16">
        <v>739.02119540000001</v>
      </c>
      <c r="N14" s="16">
        <v>0</v>
      </c>
      <c r="O14" s="16">
        <v>0</v>
      </c>
      <c r="P14" s="16">
        <v>0</v>
      </c>
      <c r="Q14" s="16">
        <f t="shared" si="15"/>
        <v>0</v>
      </c>
      <c r="R14" s="16">
        <v>0</v>
      </c>
      <c r="S14" s="16">
        <v>0</v>
      </c>
      <c r="T14" s="16">
        <f t="shared" si="16"/>
        <v>0</v>
      </c>
      <c r="U14" s="16">
        <v>0</v>
      </c>
      <c r="V14" s="16">
        <v>0</v>
      </c>
      <c r="W14" s="16">
        <v>0</v>
      </c>
      <c r="X14" s="16">
        <v>318.44749999999999</v>
      </c>
      <c r="Y14" s="16">
        <f t="shared" si="17"/>
        <v>160</v>
      </c>
      <c r="Z14" s="16">
        <v>160</v>
      </c>
      <c r="AA14" s="16">
        <v>0</v>
      </c>
      <c r="AB14" s="16">
        <v>34.229999999999997</v>
      </c>
      <c r="AC14" s="16">
        <v>0</v>
      </c>
      <c r="AD14" s="16">
        <v>0</v>
      </c>
      <c r="AE14" s="16">
        <v>8.3333333300000003</v>
      </c>
      <c r="AF14" s="16">
        <v>0</v>
      </c>
      <c r="AG14" s="16">
        <v>0</v>
      </c>
      <c r="AH14" s="16">
        <v>0</v>
      </c>
      <c r="AI14" s="16">
        <v>12.5</v>
      </c>
      <c r="AJ14" s="16">
        <v>0</v>
      </c>
      <c r="AK14" s="16">
        <v>876.50703239999996</v>
      </c>
      <c r="AL14" s="16">
        <v>0</v>
      </c>
    </row>
    <row r="15" spans="1:41">
      <c r="A15" s="14" t="s">
        <v>91</v>
      </c>
      <c r="B15" s="53" t="s">
        <v>81</v>
      </c>
      <c r="C15" s="16">
        <f t="shared" si="26"/>
        <v>-5971.4071496743491</v>
      </c>
      <c r="D15" s="16">
        <f t="shared" si="0"/>
        <v>-1093.0078255599999</v>
      </c>
      <c r="E15" s="16">
        <v>-416.16708836999999</v>
      </c>
      <c r="F15" s="16">
        <v>-676.84073718999991</v>
      </c>
      <c r="G15" s="16">
        <v>-1270.4624780316667</v>
      </c>
      <c r="H15" s="16">
        <v>-3.7252902984619139E-15</v>
      </c>
      <c r="I15" s="16">
        <v>-320.0117590166667</v>
      </c>
      <c r="J15" s="16">
        <v>0</v>
      </c>
      <c r="K15" s="16">
        <v>0</v>
      </c>
      <c r="L15" s="16">
        <v>-511.62423418333327</v>
      </c>
      <c r="M15" s="16">
        <v>-155.29963323999999</v>
      </c>
      <c r="N15" s="16">
        <v>0</v>
      </c>
      <c r="O15" s="16">
        <v>0</v>
      </c>
      <c r="P15" s="16">
        <v>-46.721311475409834</v>
      </c>
      <c r="Q15" s="16">
        <f t="shared" si="15"/>
        <v>-452.30789158825144</v>
      </c>
      <c r="R15" s="16">
        <v>-274.99304529658474</v>
      </c>
      <c r="S15" s="16">
        <v>-177.31484629166667</v>
      </c>
      <c r="T15" s="16">
        <f t="shared" si="16"/>
        <v>-22.966148095000001</v>
      </c>
      <c r="U15" s="16">
        <v>0</v>
      </c>
      <c r="V15" s="16">
        <v>-12.324788333333334</v>
      </c>
      <c r="W15" s="16">
        <v>-10.641359761666667</v>
      </c>
      <c r="X15" s="16">
        <v>-443.34245166333324</v>
      </c>
      <c r="Y15" s="16">
        <f t="shared" si="17"/>
        <v>-160</v>
      </c>
      <c r="Z15" s="16">
        <v>-160</v>
      </c>
      <c r="AA15" s="16">
        <v>0</v>
      </c>
      <c r="AB15" s="16">
        <v>-34.230000000442473</v>
      </c>
      <c r="AC15" s="16">
        <v>0</v>
      </c>
      <c r="AD15" s="16">
        <v>0</v>
      </c>
      <c r="AE15" s="16">
        <v>-8.3333333316666671</v>
      </c>
      <c r="AF15" s="16">
        <v>0</v>
      </c>
      <c r="AG15" s="16">
        <v>0</v>
      </c>
      <c r="AH15" s="16">
        <v>0</v>
      </c>
      <c r="AI15" s="16">
        <v>-12.5</v>
      </c>
      <c r="AJ15" s="16">
        <v>0</v>
      </c>
      <c r="AK15" s="16">
        <v>-5.9087378600000005</v>
      </c>
      <c r="AL15" s="16">
        <v>0</v>
      </c>
      <c r="AM15" s="17"/>
    </row>
    <row r="16" spans="1:41">
      <c r="A16" s="14" t="s">
        <v>131</v>
      </c>
      <c r="B16" s="53" t="s">
        <v>132</v>
      </c>
      <c r="C16" s="16">
        <f t="shared" si="26"/>
        <v>3517.2729375104923</v>
      </c>
      <c r="D16" s="16">
        <f t="shared" si="0"/>
        <v>623.87528348049182</v>
      </c>
      <c r="E16" s="16">
        <v>102.50450643000001</v>
      </c>
      <c r="F16" s="16">
        <v>521.37077705049182</v>
      </c>
      <c r="G16" s="16">
        <v>602.45897658000001</v>
      </c>
      <c r="H16" s="16">
        <v>0</v>
      </c>
      <c r="I16" s="16">
        <v>468.47809168000009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46.721311469999996</v>
      </c>
      <c r="Q16" s="16">
        <f t="shared" si="15"/>
        <v>617.63933692000001</v>
      </c>
      <c r="R16" s="16">
        <v>440.32449064999997</v>
      </c>
      <c r="S16" s="16">
        <v>177.31484626999998</v>
      </c>
      <c r="T16" s="16">
        <f t="shared" si="16"/>
        <v>31.596046810000001</v>
      </c>
      <c r="U16" s="16">
        <v>0</v>
      </c>
      <c r="V16" s="16">
        <v>12.324788330000001</v>
      </c>
      <c r="W16" s="16">
        <v>19.27125848</v>
      </c>
      <c r="X16" s="16">
        <v>124.89495165999999</v>
      </c>
      <c r="Y16" s="16">
        <f t="shared" si="17"/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  <c r="AK16" s="16">
        <v>0</v>
      </c>
      <c r="AL16" s="16">
        <v>0</v>
      </c>
    </row>
    <row r="17" spans="1:38">
      <c r="A17" s="10">
        <v>5</v>
      </c>
      <c r="B17" s="55" t="s">
        <v>133</v>
      </c>
      <c r="C17" s="12">
        <f t="shared" si="26"/>
        <v>6729.8516913969961</v>
      </c>
      <c r="D17" s="12">
        <f t="shared" si="0"/>
        <v>8164.2390363500126</v>
      </c>
      <c r="E17" s="12">
        <f>SUM(E18:E22)</f>
        <v>1937.5532847813242</v>
      </c>
      <c r="F17" s="12">
        <f>SUM(F18:F22)</f>
        <v>6226.6857515686879</v>
      </c>
      <c r="G17" s="12">
        <f t="shared" ref="G17:K17" si="27">SUM(G18:G22)</f>
        <v>-262.20674221166666</v>
      </c>
      <c r="H17" s="12">
        <f t="shared" si="27"/>
        <v>237.35575293999977</v>
      </c>
      <c r="I17" s="12">
        <f t="shared" si="27"/>
        <v>393.38418556106575</v>
      </c>
      <c r="J17" s="12">
        <f t="shared" si="27"/>
        <v>-50.280082866885252</v>
      </c>
      <c r="K17" s="12">
        <f t="shared" si="27"/>
        <v>-313.18761217000002</v>
      </c>
      <c r="L17" s="12">
        <f>SUM(L18:L22)</f>
        <v>981.99875932999998</v>
      </c>
      <c r="M17" s="12">
        <f>SUM(M18:M22)</f>
        <v>-267.67021512393416</v>
      </c>
      <c r="N17" s="12">
        <f t="shared" ref="N17:O17" si="28">SUM(N18:N22)</f>
        <v>-67.200165780000134</v>
      </c>
      <c r="O17" s="12">
        <f t="shared" si="28"/>
        <v>-33.661268020000023</v>
      </c>
      <c r="P17" s="12">
        <f>SUM(P18:P22)</f>
        <v>-307.76103942360646</v>
      </c>
      <c r="Q17" s="12">
        <f t="shared" si="15"/>
        <v>-159.82116355325155</v>
      </c>
      <c r="R17" s="12">
        <f t="shared" ref="R17:S17" si="29">SUM(R18:R22)</f>
        <v>-50.922745687623134</v>
      </c>
      <c r="S17" s="12">
        <f t="shared" si="29"/>
        <v>-108.8984178656284</v>
      </c>
      <c r="T17" s="12">
        <f t="shared" si="16"/>
        <v>-11.385214005331161</v>
      </c>
      <c r="U17" s="12">
        <f t="shared" ref="U17:AD17" si="30">SUM(U18:U22)</f>
        <v>-2.6720354431999951</v>
      </c>
      <c r="V17" s="12">
        <f t="shared" si="30"/>
        <v>-8.7131785621311657</v>
      </c>
      <c r="W17" s="12">
        <f t="shared" si="30"/>
        <v>-8.8817841970012523E-16</v>
      </c>
      <c r="X17" s="12">
        <f t="shared" si="30"/>
        <v>13.230937159999883</v>
      </c>
      <c r="Y17" s="12">
        <f t="shared" si="17"/>
        <v>-161.23874656999999</v>
      </c>
      <c r="Z17" s="12">
        <f t="shared" ref="Z17" si="31">SUM(Z18:Z22)</f>
        <v>-154.65439352999999</v>
      </c>
      <c r="AA17" s="12">
        <f>SUM(AA18:AA22)</f>
        <v>-6.584353040000007</v>
      </c>
      <c r="AB17" s="12">
        <f t="shared" ref="AB17" si="32">SUM(AB18:AB22)</f>
        <v>-14.616286496393364</v>
      </c>
      <c r="AC17" s="12">
        <f t="shared" si="30"/>
        <v>-17.135889201174905</v>
      </c>
      <c r="AD17" s="12">
        <f t="shared" si="30"/>
        <v>-6.8956432040983557</v>
      </c>
      <c r="AE17" s="12">
        <f>SUM(AE18:AE22)</f>
        <v>-5.0327605000000109</v>
      </c>
      <c r="AF17" s="12">
        <f t="shared" ref="AF17:AI17" si="33">SUM(AF18:AF22)</f>
        <v>-0.4079012999999998</v>
      </c>
      <c r="AG17" s="12">
        <f t="shared" si="33"/>
        <v>-3.8045083199999965</v>
      </c>
      <c r="AH17" s="12">
        <f t="shared" si="33"/>
        <v>-20.897738812786883</v>
      </c>
      <c r="AI17" s="12">
        <f t="shared" si="33"/>
        <v>-29.599974600000024</v>
      </c>
      <c r="AJ17" s="12">
        <f>SUM(AJ18:AJ22)</f>
        <v>-1.6757402200000051</v>
      </c>
      <c r="AK17" s="12">
        <f t="shared" ref="AK17" si="34">SUM(AK18:AK22)</f>
        <v>858.03413954000007</v>
      </c>
      <c r="AL17" s="12">
        <f>SUM(AL18:AL22)</f>
        <v>-0.99533775000000091</v>
      </c>
    </row>
    <row r="18" spans="1:38">
      <c r="A18" s="14" t="s">
        <v>94</v>
      </c>
      <c r="B18" s="53" t="s">
        <v>134</v>
      </c>
      <c r="C18" s="16">
        <f t="shared" si="26"/>
        <v>13098.230335463355</v>
      </c>
      <c r="D18" s="16">
        <f t="shared" si="0"/>
        <v>8397.8559745977036</v>
      </c>
      <c r="E18" s="16">
        <f>E14+E16+E15</f>
        <v>2123.2721987100003</v>
      </c>
      <c r="F18" s="16">
        <f t="shared" ref="F18:O18" si="35">F14+F16+F15</f>
        <v>6274.5837758877042</v>
      </c>
      <c r="G18" s="16">
        <f t="shared" si="35"/>
        <v>1447.703894868333</v>
      </c>
      <c r="H18" s="16">
        <f t="shared" si="35"/>
        <v>1117.18991005</v>
      </c>
      <c r="I18" s="16">
        <f t="shared" si="35"/>
        <v>1144.2268074733333</v>
      </c>
      <c r="J18" s="16">
        <f t="shared" si="35"/>
        <v>0</v>
      </c>
      <c r="K18" s="16">
        <f t="shared" si="35"/>
        <v>0</v>
      </c>
      <c r="L18" s="16">
        <f t="shared" si="35"/>
        <v>2147.0648717166669</v>
      </c>
      <c r="M18" s="16">
        <f t="shared" si="35"/>
        <v>583.72156216000008</v>
      </c>
      <c r="N18" s="16">
        <f t="shared" si="35"/>
        <v>0</v>
      </c>
      <c r="O18" s="16">
        <f t="shared" si="35"/>
        <v>0</v>
      </c>
      <c r="P18" s="16">
        <f>P14+P16+P15</f>
        <v>-5.409837910974602E-9</v>
      </c>
      <c r="Q18" s="16">
        <f t="shared" si="15"/>
        <v>165.33144533174854</v>
      </c>
      <c r="R18" s="16">
        <f>R14+R16+R15</f>
        <v>165.33144535341523</v>
      </c>
      <c r="S18" s="16">
        <f>S14+S16+S15</f>
        <v>-2.1666693328370457E-8</v>
      </c>
      <c r="T18" s="16">
        <f t="shared" si="16"/>
        <v>8.6298987149999995</v>
      </c>
      <c r="U18" s="16">
        <f t="shared" ref="U18:AD18" si="36">U14+U16+U15</f>
        <v>0</v>
      </c>
      <c r="V18" s="16">
        <f t="shared" si="36"/>
        <v>-3.33333360913457E-9</v>
      </c>
      <c r="W18" s="16">
        <f t="shared" si="36"/>
        <v>8.6298987183333331</v>
      </c>
      <c r="X18" s="16">
        <f t="shared" si="36"/>
        <v>-3.3332412385789212E-9</v>
      </c>
      <c r="Y18" s="16">
        <f t="shared" si="17"/>
        <v>0</v>
      </c>
      <c r="Z18" s="16">
        <f t="shared" si="36"/>
        <v>0</v>
      </c>
      <c r="AA18" s="16">
        <f>AA14+AA16+AA15</f>
        <v>0</v>
      </c>
      <c r="AB18" s="16">
        <f t="shared" ref="AB18" si="37">AB14+AB16+AB15</f>
        <v>-4.4247627783988719E-10</v>
      </c>
      <c r="AC18" s="16">
        <f t="shared" si="36"/>
        <v>0</v>
      </c>
      <c r="AD18" s="16">
        <f t="shared" si="36"/>
        <v>0</v>
      </c>
      <c r="AE18" s="16">
        <f>AE14+AE16+AE15</f>
        <v>-1.666666804567285E-9</v>
      </c>
      <c r="AF18" s="16">
        <f t="shared" ref="AF18:AH18" si="38">AF14+AF16+AF15</f>
        <v>0</v>
      </c>
      <c r="AG18" s="16">
        <f t="shared" si="38"/>
        <v>0</v>
      </c>
      <c r="AH18" s="16">
        <f t="shared" si="38"/>
        <v>0</v>
      </c>
      <c r="AI18" s="16">
        <f>AI14+AI16+AI15</f>
        <v>0</v>
      </c>
      <c r="AJ18" s="16">
        <f>AJ14+AJ16+AJ15</f>
        <v>0</v>
      </c>
      <c r="AK18" s="16">
        <f>AK14+AK16+AK15</f>
        <v>870.59829453999998</v>
      </c>
      <c r="AL18" s="16">
        <f>AL14+AL16+AL15</f>
        <v>0</v>
      </c>
    </row>
    <row r="19" spans="1:38">
      <c r="A19" s="14" t="s">
        <v>96</v>
      </c>
      <c r="B19" s="53" t="s">
        <v>135</v>
      </c>
      <c r="C19" s="19">
        <f t="shared" si="26"/>
        <v>-4971.8223346563591</v>
      </c>
      <c r="D19" s="19">
        <f t="shared" si="0"/>
        <v>15.918289372307612</v>
      </c>
      <c r="E19" s="19">
        <f>-(E7-E13-E12+E15+E20)</f>
        <v>5.2175537613237566</v>
      </c>
      <c r="F19" s="19">
        <f>-(F7-F13-F12+F15+F20)</f>
        <v>10.700735610983855</v>
      </c>
      <c r="G19" s="19">
        <f t="shared" ref="G19:O19" si="39">-(G7-G12+G15+G20)</f>
        <v>-1548.0922666699996</v>
      </c>
      <c r="H19" s="19">
        <f t="shared" si="39"/>
        <v>-838.62540813000021</v>
      </c>
      <c r="I19" s="19">
        <f t="shared" si="39"/>
        <v>-671.09564180226755</v>
      </c>
      <c r="J19" s="19">
        <f t="shared" si="39"/>
        <v>-47.23428309688525</v>
      </c>
      <c r="K19" s="19">
        <f t="shared" si="39"/>
        <v>-294.51213490000004</v>
      </c>
      <c r="L19" s="19">
        <f t="shared" si="39"/>
        <v>-1078.3625606966668</v>
      </c>
      <c r="M19" s="19">
        <f t="shared" si="39"/>
        <v>-797.86493635393424</v>
      </c>
      <c r="N19" s="19">
        <f t="shared" si="39"/>
        <v>1.0493235399998611</v>
      </c>
      <c r="O19" s="19">
        <f t="shared" si="39"/>
        <v>5.8333319999988476E-2</v>
      </c>
      <c r="P19" s="19">
        <f>-(P7-P12+P15+P20)</f>
        <v>-286.38838636819662</v>
      </c>
      <c r="Q19" s="19">
        <f t="shared" si="15"/>
        <v>-259.02778552500007</v>
      </c>
      <c r="R19" s="19">
        <f>-(R7-R12+R15+R20)</f>
        <v>-168.41716486103837</v>
      </c>
      <c r="S19" s="19">
        <f>-(S7-S12+S15+S20)</f>
        <v>-90.610620663961711</v>
      </c>
      <c r="T19" s="19">
        <f t="shared" si="16"/>
        <v>-8.4643569303311601</v>
      </c>
      <c r="U19" s="19">
        <f t="shared" ref="U19:AD19" si="40">-(U7-U12+U15+U20)</f>
        <v>9.7101596800006185E-2</v>
      </c>
      <c r="V19" s="19">
        <f t="shared" si="40"/>
        <v>6.8440171202167832E-2</v>
      </c>
      <c r="W19" s="19">
        <f t="shared" si="40"/>
        <v>-8.629898698333335</v>
      </c>
      <c r="X19" s="19">
        <f>-(X7-X12+X15+X20)</f>
        <v>13.230937163333124</v>
      </c>
      <c r="Y19" s="19">
        <f t="shared" si="17"/>
        <v>-56.503036420000065</v>
      </c>
      <c r="Z19" s="19">
        <f>-(Z7-Z12+Z15+Z20)</f>
        <v>-53.518383240000055</v>
      </c>
      <c r="AA19" s="19">
        <f>-(AA7-AA12+AA15+AA20)</f>
        <v>-2.9846531800000071</v>
      </c>
      <c r="AB19" s="19">
        <f>-(AB7-AB12+AB15+AB20)</f>
        <v>1.0951881040491145</v>
      </c>
      <c r="AC19" s="19">
        <f t="shared" si="40"/>
        <v>-9.6012141111749045</v>
      </c>
      <c r="AD19" s="19">
        <f t="shared" si="40"/>
        <v>-4.103427214098355</v>
      </c>
      <c r="AE19" s="19">
        <f>-(AE7-AE12+AE15+AE20)</f>
        <v>5.0000001666655969E-2</v>
      </c>
      <c r="AF19" s="19">
        <f t="shared" ref="AF19:AH19" si="41">-(AF7-AF12+AF15+AF20)</f>
        <v>1.6653345369377348E-16</v>
      </c>
      <c r="AG19" s="19">
        <f t="shared" si="41"/>
        <v>0.19836066000000319</v>
      </c>
      <c r="AH19" s="19">
        <f t="shared" si="41"/>
        <v>-20.897738812786883</v>
      </c>
      <c r="AI19" s="19">
        <f>-(AI7-AI12+AI15+AI20)</f>
        <v>-14.076907620000025</v>
      </c>
      <c r="AJ19" s="19">
        <f>-(AJ7-AJ12+AJ15+AJ20)</f>
        <v>-0.77095655000000507</v>
      </c>
      <c r="AK19" s="19">
        <f>-(AK7-AK12+AK15+AK20)</f>
        <v>-10.594575710000001</v>
      </c>
      <c r="AL19" s="19">
        <f>-(AL7-AL12+AL15+AL20)</f>
        <v>-8.8817841970012523E-16</v>
      </c>
    </row>
    <row r="20" spans="1:38">
      <c r="A20" s="14" t="s">
        <v>98</v>
      </c>
      <c r="B20" s="53" t="s">
        <v>136</v>
      </c>
      <c r="C20" s="19">
        <f t="shared" si="26"/>
        <v>-1264.5563094100005</v>
      </c>
      <c r="D20" s="19">
        <f t="shared" si="0"/>
        <v>-249.53522761999997</v>
      </c>
      <c r="E20" s="16">
        <v>-190.93646768999997</v>
      </c>
      <c r="F20" s="16">
        <v>-58.59875993</v>
      </c>
      <c r="G20" s="16">
        <v>-161.81837041000003</v>
      </c>
      <c r="H20" s="16">
        <v>-41.208748979999996</v>
      </c>
      <c r="I20" s="16">
        <v>-79.746980110000024</v>
      </c>
      <c r="J20" s="16">
        <v>-3.0457997699999999</v>
      </c>
      <c r="K20" s="16">
        <v>-18.675477269999998</v>
      </c>
      <c r="L20" s="16">
        <v>-86.703551689999998</v>
      </c>
      <c r="M20" s="16">
        <v>-53.526840930000006</v>
      </c>
      <c r="N20" s="16">
        <v>-68.249489319999995</v>
      </c>
      <c r="O20" s="16">
        <v>-33.719601340000011</v>
      </c>
      <c r="P20" s="16">
        <v>-21.37265305</v>
      </c>
      <c r="Q20" s="19">
        <f t="shared" si="15"/>
        <v>-66.124823359999993</v>
      </c>
      <c r="R20" s="16">
        <v>-47.837026179999995</v>
      </c>
      <c r="S20" s="16">
        <v>-18.287797179999998</v>
      </c>
      <c r="T20" s="19">
        <f t="shared" si="16"/>
        <v>-11.55075579</v>
      </c>
      <c r="U20" s="16">
        <v>-2.7691370400000013</v>
      </c>
      <c r="V20" s="16">
        <v>-8.7816187299999999</v>
      </c>
      <c r="W20" s="16">
        <v>-1.9999998990272161E-8</v>
      </c>
      <c r="X20" s="16">
        <v>0</v>
      </c>
      <c r="Y20" s="19">
        <f t="shared" si="17"/>
        <v>-60.735710149999996</v>
      </c>
      <c r="Z20" s="16">
        <v>-57.136010289999994</v>
      </c>
      <c r="AA20" s="16">
        <v>-3.5996998599999999</v>
      </c>
      <c r="AB20" s="16">
        <v>-15.711474600000003</v>
      </c>
      <c r="AC20" s="16">
        <v>-7.5346750899999995</v>
      </c>
      <c r="AD20" s="16">
        <v>-2.7922159900000003</v>
      </c>
      <c r="AE20" s="16">
        <v>-5.0827605</v>
      </c>
      <c r="AF20" s="16">
        <v>-0.40790129999999997</v>
      </c>
      <c r="AG20" s="16">
        <v>-4.0028689799999997</v>
      </c>
      <c r="AH20" s="16">
        <v>0</v>
      </c>
      <c r="AI20" s="16">
        <v>-15.523066979999999</v>
      </c>
      <c r="AJ20" s="16">
        <v>-0.90478367000000004</v>
      </c>
      <c r="AK20" s="16">
        <v>-1.96957929</v>
      </c>
      <c r="AL20" s="16">
        <v>-0.99533775000000002</v>
      </c>
    </row>
    <row r="21" spans="1:38" ht="25.5">
      <c r="A21" s="14" t="s">
        <v>137</v>
      </c>
      <c r="B21" s="53" t="s">
        <v>138</v>
      </c>
      <c r="C21" s="19">
        <f t="shared" si="26"/>
        <v>-131.99999999999983</v>
      </c>
      <c r="D21" s="19">
        <f t="shared" si="0"/>
        <v>0</v>
      </c>
      <c r="E21" s="19">
        <f t="shared" ref="E21:O21" si="42">-E8</f>
        <v>0</v>
      </c>
      <c r="F21" s="19">
        <f t="shared" si="42"/>
        <v>0</v>
      </c>
      <c r="G21" s="19">
        <f t="shared" si="42"/>
        <v>0</v>
      </c>
      <c r="H21" s="19">
        <f t="shared" si="42"/>
        <v>0</v>
      </c>
      <c r="I21" s="19">
        <f t="shared" si="42"/>
        <v>0</v>
      </c>
      <c r="J21" s="19">
        <f t="shared" si="42"/>
        <v>0</v>
      </c>
      <c r="K21" s="19">
        <f t="shared" si="42"/>
        <v>0</v>
      </c>
      <c r="L21" s="19">
        <f t="shared" si="42"/>
        <v>0</v>
      </c>
      <c r="M21" s="19">
        <f t="shared" si="42"/>
        <v>0</v>
      </c>
      <c r="N21" s="19">
        <f t="shared" si="42"/>
        <v>0</v>
      </c>
      <c r="O21" s="19">
        <f t="shared" si="42"/>
        <v>0</v>
      </c>
      <c r="P21" s="19">
        <f>-P8</f>
        <v>0</v>
      </c>
      <c r="Q21" s="19">
        <f t="shared" si="15"/>
        <v>0</v>
      </c>
      <c r="R21" s="19">
        <f>-R8</f>
        <v>0</v>
      </c>
      <c r="S21" s="19">
        <f>-S8</f>
        <v>0</v>
      </c>
      <c r="T21" s="19">
        <f t="shared" si="16"/>
        <v>0</v>
      </c>
      <c r="U21" s="19">
        <f t="shared" ref="U21:Z21" si="43">-U8</f>
        <v>0</v>
      </c>
      <c r="V21" s="19">
        <f t="shared" si="43"/>
        <v>0</v>
      </c>
      <c r="W21" s="19">
        <f t="shared" si="43"/>
        <v>0</v>
      </c>
      <c r="X21" s="19">
        <f t="shared" si="43"/>
        <v>0</v>
      </c>
      <c r="Y21" s="19">
        <f t="shared" si="17"/>
        <v>-43.999999999999943</v>
      </c>
      <c r="Z21" s="19">
        <f t="shared" si="43"/>
        <v>-43.999999999999943</v>
      </c>
      <c r="AA21" s="19">
        <f>-AA8</f>
        <v>0</v>
      </c>
      <c r="AB21" s="19">
        <f t="shared" ref="AB21" si="44">-AB8</f>
        <v>0</v>
      </c>
      <c r="AC21" s="19">
        <f>-AC8</f>
        <v>0</v>
      </c>
      <c r="AD21" s="19">
        <f t="shared" ref="AD21" si="45">-AD8</f>
        <v>0</v>
      </c>
      <c r="AE21" s="19">
        <f>-AE8</f>
        <v>0</v>
      </c>
      <c r="AF21" s="19">
        <f t="shared" ref="AF21:AH21" si="46">-AF8</f>
        <v>0</v>
      </c>
      <c r="AG21" s="19">
        <f t="shared" si="46"/>
        <v>0</v>
      </c>
      <c r="AH21" s="19">
        <f t="shared" si="46"/>
        <v>0</v>
      </c>
      <c r="AI21" s="19">
        <f>-AI8</f>
        <v>0</v>
      </c>
      <c r="AJ21" s="19">
        <f>-AJ8</f>
        <v>0</v>
      </c>
      <c r="AK21" s="19">
        <f>-AK8</f>
        <v>0</v>
      </c>
      <c r="AL21" s="19">
        <f>-AL8</f>
        <v>0</v>
      </c>
    </row>
    <row r="22" spans="1:38" ht="25.5">
      <c r="A22" s="14" t="s">
        <v>139</v>
      </c>
      <c r="B22" s="53" t="s">
        <v>140</v>
      </c>
      <c r="C22" s="19">
        <f t="shared" si="26"/>
        <v>0</v>
      </c>
      <c r="D22" s="19">
        <f t="shared" si="0"/>
        <v>0</v>
      </c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>
        <f>R22+S22</f>
        <v>0</v>
      </c>
      <c r="R22" s="19"/>
      <c r="S22" s="19"/>
      <c r="T22" s="19">
        <f t="shared" si="16"/>
        <v>0</v>
      </c>
      <c r="U22" s="19"/>
      <c r="V22" s="19"/>
      <c r="W22" s="19"/>
      <c r="X22" s="19"/>
      <c r="Y22" s="19">
        <f>Z22+AA22</f>
        <v>0</v>
      </c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</row>
    <row r="23" spans="1:38">
      <c r="A23" s="10">
        <v>6</v>
      </c>
      <c r="B23" s="55" t="s">
        <v>141</v>
      </c>
      <c r="C23" s="12">
        <f t="shared" si="26"/>
        <v>11757.245954725027</v>
      </c>
      <c r="D23" s="12">
        <f t="shared" si="0"/>
        <v>8670.6181115565851</v>
      </c>
      <c r="E23" s="12">
        <f>SUM(E24:E26)</f>
        <v>2352.5730502232504</v>
      </c>
      <c r="F23" s="12">
        <f>SUM(F24:F26)</f>
        <v>6318.0450613333342</v>
      </c>
      <c r="G23" s="12">
        <f t="shared" ref="G23:K23" si="47">SUM(G24:G26)</f>
        <v>0</v>
      </c>
      <c r="H23" s="12">
        <f t="shared" si="47"/>
        <v>1135.8097422416668</v>
      </c>
      <c r="I23" s="12">
        <f t="shared" si="47"/>
        <v>1003.3553624</v>
      </c>
      <c r="J23" s="12">
        <f t="shared" si="47"/>
        <v>0</v>
      </c>
      <c r="K23" s="12">
        <f t="shared" si="47"/>
        <v>0</v>
      </c>
      <c r="L23" s="12">
        <f>SUM(L24:L26)</f>
        <v>2331.6451676249999</v>
      </c>
      <c r="M23" s="12">
        <f>SUM(M24:M26)</f>
        <v>739.02119539344267</v>
      </c>
      <c r="N23" s="12">
        <f t="shared" ref="N23:O23" si="48">SUM(N24:N26)</f>
        <v>0</v>
      </c>
      <c r="O23" s="12">
        <f t="shared" si="48"/>
        <v>0</v>
      </c>
      <c r="P23" s="12">
        <f>SUM(P24:P26)</f>
        <v>0</v>
      </c>
      <c r="Q23" s="12">
        <f t="shared" si="15"/>
        <v>0</v>
      </c>
      <c r="R23" s="12">
        <f t="shared" ref="R23:S23" si="49">SUM(R24:R26)</f>
        <v>0</v>
      </c>
      <c r="S23" s="12">
        <f t="shared" si="49"/>
        <v>0</v>
      </c>
      <c r="T23" s="12">
        <f t="shared" si="16"/>
        <v>0</v>
      </c>
      <c r="U23" s="12">
        <f t="shared" ref="U23:AD23" si="50">SUM(U24:U26)</f>
        <v>0</v>
      </c>
      <c r="V23" s="12">
        <f t="shared" si="50"/>
        <v>0</v>
      </c>
      <c r="W23" s="12">
        <f t="shared" si="50"/>
        <v>0</v>
      </c>
      <c r="X23" s="12">
        <f t="shared" si="50"/>
        <v>0</v>
      </c>
      <c r="Y23" s="12">
        <f t="shared" si="17"/>
        <v>0</v>
      </c>
      <c r="Z23" s="12">
        <f t="shared" ref="Z23" si="51">SUM(Z24:Z26)</f>
        <v>0</v>
      </c>
      <c r="AA23" s="12">
        <f>SUM(AA24:AA26)</f>
        <v>0</v>
      </c>
      <c r="AB23" s="12">
        <f t="shared" ref="AB23" si="52">SUM(AB24:AB26)</f>
        <v>15.96148015</v>
      </c>
      <c r="AC23" s="12">
        <f t="shared" si="50"/>
        <v>0</v>
      </c>
      <c r="AD23" s="12">
        <f t="shared" si="50"/>
        <v>0</v>
      </c>
      <c r="AE23" s="12">
        <f>SUM(AE24:AE26)</f>
        <v>0</v>
      </c>
      <c r="AF23" s="12">
        <f t="shared" ref="AF23:AI23" si="53">SUM(AF24:AF26)</f>
        <v>0</v>
      </c>
      <c r="AG23" s="12">
        <f t="shared" si="53"/>
        <v>0</v>
      </c>
      <c r="AH23" s="12">
        <f t="shared" si="53"/>
        <v>0</v>
      </c>
      <c r="AI23" s="12">
        <f t="shared" si="53"/>
        <v>0</v>
      </c>
      <c r="AJ23" s="12">
        <f>SUM(AJ24:AJ26)</f>
        <v>0</v>
      </c>
      <c r="AK23" s="12">
        <f t="shared" ref="AK23" si="54">SUM(AK24:AK26)</f>
        <v>876.50703240163932</v>
      </c>
      <c r="AL23" s="12">
        <f>SUM(AL24:AL26)</f>
        <v>0</v>
      </c>
    </row>
    <row r="24" spans="1:38">
      <c r="A24" s="14" t="s">
        <v>105</v>
      </c>
      <c r="B24" s="53" t="s">
        <v>95</v>
      </c>
      <c r="C24" s="19">
        <f t="shared" si="26"/>
        <v>11757.245954725027</v>
      </c>
      <c r="D24" s="19">
        <f t="shared" si="0"/>
        <v>8670.6181115565851</v>
      </c>
      <c r="E24" s="19">
        <v>2352.5730502232504</v>
      </c>
      <c r="F24" s="19">
        <v>6318.0450613333342</v>
      </c>
      <c r="G24" s="19">
        <v>0</v>
      </c>
      <c r="H24" s="19">
        <v>1135.8097422416668</v>
      </c>
      <c r="I24" s="19">
        <v>1003.3553624</v>
      </c>
      <c r="J24" s="19">
        <v>0</v>
      </c>
      <c r="K24" s="19">
        <v>0</v>
      </c>
      <c r="L24" s="19">
        <v>2331.6451676249999</v>
      </c>
      <c r="M24" s="19">
        <v>739.02119539344267</v>
      </c>
      <c r="N24" s="19">
        <v>0</v>
      </c>
      <c r="O24" s="19">
        <v>0</v>
      </c>
      <c r="P24" s="19">
        <v>0</v>
      </c>
      <c r="Q24" s="19">
        <f t="shared" si="15"/>
        <v>0</v>
      </c>
      <c r="R24" s="19">
        <v>0</v>
      </c>
      <c r="S24" s="19">
        <v>0</v>
      </c>
      <c r="T24" s="19">
        <f t="shared" si="16"/>
        <v>0</v>
      </c>
      <c r="U24" s="19">
        <v>0</v>
      </c>
      <c r="V24" s="19">
        <v>0</v>
      </c>
      <c r="W24" s="19">
        <v>0</v>
      </c>
      <c r="X24" s="19">
        <v>0</v>
      </c>
      <c r="Y24" s="19">
        <f t="shared" si="17"/>
        <v>0</v>
      </c>
      <c r="Z24" s="19">
        <v>0</v>
      </c>
      <c r="AA24" s="19">
        <v>0</v>
      </c>
      <c r="AB24" s="19">
        <v>15.96148015</v>
      </c>
      <c r="AC24" s="19">
        <v>0</v>
      </c>
      <c r="AD24" s="19">
        <v>0</v>
      </c>
      <c r="AE24" s="19">
        <v>0</v>
      </c>
      <c r="AF24" s="19">
        <v>0</v>
      </c>
      <c r="AG24" s="19">
        <v>0</v>
      </c>
      <c r="AH24" s="19">
        <v>0</v>
      </c>
      <c r="AI24" s="19">
        <v>0</v>
      </c>
      <c r="AJ24" s="19">
        <v>0</v>
      </c>
      <c r="AK24" s="19">
        <v>876.50703240163932</v>
      </c>
      <c r="AL24" s="19">
        <v>0</v>
      </c>
    </row>
    <row r="25" spans="1:38" ht="25.5">
      <c r="A25" s="14" t="s">
        <v>107</v>
      </c>
      <c r="B25" s="53" t="s">
        <v>142</v>
      </c>
      <c r="C25" s="19">
        <f t="shared" si="26"/>
        <v>0</v>
      </c>
      <c r="D25" s="19">
        <f t="shared" si="0"/>
        <v>0</v>
      </c>
      <c r="E25" s="19">
        <v>0</v>
      </c>
      <c r="F25" s="19">
        <v>0</v>
      </c>
      <c r="G25" s="19">
        <v>0</v>
      </c>
      <c r="H25" s="19">
        <v>0</v>
      </c>
      <c r="I25" s="19">
        <v>0</v>
      </c>
      <c r="J25" s="19">
        <v>0</v>
      </c>
      <c r="K25" s="19">
        <v>0</v>
      </c>
      <c r="L25" s="19">
        <v>0</v>
      </c>
      <c r="M25" s="19">
        <v>0</v>
      </c>
      <c r="N25" s="19">
        <v>0</v>
      </c>
      <c r="O25" s="19">
        <v>0</v>
      </c>
      <c r="P25" s="19">
        <v>0</v>
      </c>
      <c r="Q25" s="19">
        <f t="shared" si="15"/>
        <v>0</v>
      </c>
      <c r="R25" s="19">
        <v>0</v>
      </c>
      <c r="S25" s="19">
        <v>0</v>
      </c>
      <c r="T25" s="19">
        <f t="shared" si="16"/>
        <v>0</v>
      </c>
      <c r="U25" s="19">
        <v>0</v>
      </c>
      <c r="V25" s="19">
        <v>0</v>
      </c>
      <c r="W25" s="19">
        <v>0</v>
      </c>
      <c r="X25" s="19">
        <v>0</v>
      </c>
      <c r="Y25" s="19">
        <f t="shared" si="17"/>
        <v>0</v>
      </c>
      <c r="Z25" s="19"/>
      <c r="AA25" s="19"/>
      <c r="AB25" s="19">
        <v>0</v>
      </c>
      <c r="AC25" s="19">
        <v>0</v>
      </c>
      <c r="AD25" s="19">
        <v>0</v>
      </c>
      <c r="AE25" s="19">
        <v>0</v>
      </c>
      <c r="AF25" s="19">
        <v>0</v>
      </c>
      <c r="AG25" s="19">
        <v>0</v>
      </c>
      <c r="AH25" s="19">
        <v>0</v>
      </c>
      <c r="AI25" s="19">
        <v>0</v>
      </c>
      <c r="AJ25" s="19">
        <v>0</v>
      </c>
      <c r="AK25" s="19">
        <v>0</v>
      </c>
      <c r="AL25" s="19">
        <v>0</v>
      </c>
    </row>
    <row r="26" spans="1:38">
      <c r="A26" s="14" t="s">
        <v>109</v>
      </c>
      <c r="B26" s="53" t="s">
        <v>143</v>
      </c>
      <c r="C26" s="19">
        <f t="shared" si="26"/>
        <v>0</v>
      </c>
      <c r="D26" s="19">
        <f t="shared" si="0"/>
        <v>0</v>
      </c>
      <c r="E26" s="19">
        <v>0</v>
      </c>
      <c r="F26" s="19">
        <v>0</v>
      </c>
      <c r="G26" s="19">
        <v>0</v>
      </c>
      <c r="H26" s="19">
        <v>0</v>
      </c>
      <c r="I26" s="19">
        <v>0</v>
      </c>
      <c r="J26" s="19">
        <v>0</v>
      </c>
      <c r="K26" s="19">
        <v>0</v>
      </c>
      <c r="L26" s="19">
        <v>0</v>
      </c>
      <c r="M26" s="19"/>
      <c r="N26" s="19">
        <v>0</v>
      </c>
      <c r="O26" s="19">
        <v>0</v>
      </c>
      <c r="P26" s="19">
        <v>0</v>
      </c>
      <c r="Q26" s="19">
        <f t="shared" si="15"/>
        <v>0</v>
      </c>
      <c r="R26" s="19"/>
      <c r="S26" s="19"/>
      <c r="T26" s="19">
        <f t="shared" si="16"/>
        <v>0</v>
      </c>
      <c r="U26" s="19"/>
      <c r="V26" s="19"/>
      <c r="W26" s="19"/>
      <c r="X26" s="19"/>
      <c r="Y26" s="19">
        <f t="shared" si="17"/>
        <v>0</v>
      </c>
      <c r="Z26" s="19"/>
      <c r="AA26" s="19"/>
      <c r="AB26" s="19"/>
      <c r="AC26" s="19"/>
      <c r="AD26" s="19"/>
      <c r="AE26" s="19"/>
      <c r="AF26" s="19"/>
      <c r="AG26" s="19"/>
      <c r="AH26" s="19"/>
      <c r="AI26" s="19">
        <v>0</v>
      </c>
      <c r="AJ26" s="19"/>
      <c r="AK26" s="19">
        <v>0</v>
      </c>
      <c r="AL26" s="19"/>
    </row>
    <row r="27" spans="1:38">
      <c r="A27" s="10">
        <v>7</v>
      </c>
      <c r="B27" s="55" t="s">
        <v>144</v>
      </c>
      <c r="C27" s="12" t="str">
        <f t="shared" ref="C27:L27" si="55">IF((C11+C10-C6-C23)&lt;=0,"отсутствует",(C11+C10-C6-C23))</f>
        <v>отсутствует</v>
      </c>
      <c r="D27" s="37" t="str">
        <f t="shared" si="55"/>
        <v>отсутствует</v>
      </c>
      <c r="E27" s="12" t="str">
        <f>IF((E11+E10-E6-E23)&lt;=0,"отсутствует",(E11+E10-E6-E23))</f>
        <v>отсутствует</v>
      </c>
      <c r="F27" s="12" t="str">
        <f>IF((F11+F10-F6-F23)&lt;=0,"отсутствует",(F11+F10-F6-F23))</f>
        <v>отсутствует</v>
      </c>
      <c r="G27" s="12">
        <f t="shared" si="55"/>
        <v>468.01230997572929</v>
      </c>
      <c r="H27" s="12" t="str">
        <f t="shared" si="55"/>
        <v>отсутствует</v>
      </c>
      <c r="I27" s="12" t="str">
        <f t="shared" si="55"/>
        <v>отсутствует</v>
      </c>
      <c r="J27" s="12" t="str">
        <f t="shared" si="55"/>
        <v>отсутствует</v>
      </c>
      <c r="K27" s="12" t="str">
        <f t="shared" si="55"/>
        <v>отсутствует</v>
      </c>
      <c r="L27" s="12" t="str">
        <f t="shared" si="55"/>
        <v>отсутствует</v>
      </c>
      <c r="M27" s="12" t="str">
        <f>IF((M11+M10-M6-M23)&lt;=0,"отсутствует",(M11+M10-M6-M23))</f>
        <v>отсутствует</v>
      </c>
      <c r="N27" s="12" t="str">
        <f t="shared" ref="N27:O27" si="56">IF((N11+N10-N6-N23)&lt;=0,"отсутствует",(N11+N10-N6-N23))</f>
        <v>отсутствует</v>
      </c>
      <c r="O27" s="12" t="str">
        <f t="shared" si="56"/>
        <v>отсутствует</v>
      </c>
      <c r="P27" s="12" t="str">
        <f>IF((P11+P10-P6-P23)&lt;=0,"отсутствует",(P11+P10-P6-P23))</f>
        <v>отсутствует</v>
      </c>
      <c r="Q27" s="12">
        <f>IF((Q11+Q10-Q6-Q23)&lt;=0,"отсутствует",(Q11+Q10-Q6-Q23))</f>
        <v>120.20210680674859</v>
      </c>
      <c r="R27" s="12">
        <f t="shared" ref="R27:AD27" si="57">IF((R11+R10-R6-R23)&lt;=0,"отсутствует",(R11+R10-R6-R23))</f>
        <v>710.09945749216263</v>
      </c>
      <c r="S27" s="12" t="str">
        <f t="shared" si="57"/>
        <v>отсутствует</v>
      </c>
      <c r="T27" s="12" t="str">
        <f t="shared" si="57"/>
        <v>отсутствует</v>
      </c>
      <c r="U27" s="12" t="str">
        <f t="shared" si="57"/>
        <v>отсутствует</v>
      </c>
      <c r="V27" s="12" t="str">
        <f t="shared" si="57"/>
        <v>отсутствует</v>
      </c>
      <c r="W27" s="12">
        <f t="shared" si="57"/>
        <v>3.9629999974977181E-6</v>
      </c>
      <c r="X27" s="12">
        <f t="shared" si="57"/>
        <v>13.708032739999908</v>
      </c>
      <c r="Y27" s="12" t="str">
        <f>IF((Y11+Y10-Y6-Y23)&lt;=0,"отсутствует",(Y11+Y10-Y6-Y23))</f>
        <v>отсутствует</v>
      </c>
      <c r="Z27" s="12" t="str">
        <f t="shared" ref="Z27" si="58">IF((Z11+Z10-Z6-Z23)&lt;=0,"отсутствует",(Z11+Z10-Z6-Z23))</f>
        <v>отсутствует</v>
      </c>
      <c r="AA27" s="12" t="str">
        <f>IF((AA11+AA10-AA6-AA23)&lt;=0,"отсутствует",(AA11+AA10-AA6-AA23))</f>
        <v>отсутствует</v>
      </c>
      <c r="AB27" s="12" t="str">
        <f t="shared" ref="AB27" si="59">IF((AB11+AB10-AB6-AB23)&lt;=0,"отсутствует",(AB11+AB10-AB6-AB23))</f>
        <v>отсутствует</v>
      </c>
      <c r="AC27" s="12" t="str">
        <f t="shared" si="57"/>
        <v>отсутствует</v>
      </c>
      <c r="AD27" s="12" t="str">
        <f t="shared" si="57"/>
        <v>отсутствует</v>
      </c>
      <c r="AE27" s="12" t="str">
        <f>IF((AE11+AE10-AE6-AE23)&lt;=0,"отсутствует",(AE11+AE10-AE6-AE23))</f>
        <v>отсутствует</v>
      </c>
      <c r="AF27" s="12" t="str">
        <f t="shared" ref="AF27:AI27" si="60">IF((AF11+AF10-AF6-AF23)&lt;=0,"отсутствует",(AF11+AF10-AF6-AF23))</f>
        <v>отсутствует</v>
      </c>
      <c r="AG27" s="12" t="str">
        <f t="shared" si="60"/>
        <v>отсутствует</v>
      </c>
      <c r="AH27" s="12" t="str">
        <f t="shared" si="60"/>
        <v>отсутствует</v>
      </c>
      <c r="AI27" s="12" t="str">
        <f t="shared" si="60"/>
        <v>отсутствует</v>
      </c>
      <c r="AJ27" s="12" t="str">
        <f>IF((AJ11+AJ10-AJ6-AJ23)&lt;=0,"отсутствует",(AJ11+AJ10-AJ6-AJ23))</f>
        <v>отсутствует</v>
      </c>
      <c r="AK27" s="12" t="str">
        <f t="shared" ref="AK27" si="61">IF((AK11+AK10-AK6-AK23)&lt;=0,"отсутствует",(AK11+AK10-AK6-AK23))</f>
        <v>отсутствует</v>
      </c>
      <c r="AL27" s="12" t="str">
        <f>IF((AL11+AL10-AL6-AL23)&lt;=0,"отсутствует",(AL11+AL10-AL6-AL23))</f>
        <v>отсутствует</v>
      </c>
    </row>
    <row r="28" spans="1:38">
      <c r="A28" s="38"/>
      <c r="B28" s="59"/>
      <c r="C28" s="39"/>
      <c r="D28" s="40"/>
      <c r="E28" s="39"/>
      <c r="F28" s="39"/>
      <c r="G28" s="40"/>
      <c r="H28" s="40"/>
      <c r="I28" s="39"/>
      <c r="J28" s="39"/>
      <c r="K28" s="39"/>
      <c r="L28" s="39"/>
      <c r="M28" s="39"/>
      <c r="N28" s="40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</row>
    <row r="29" spans="1:38">
      <c r="A29" s="10"/>
      <c r="B29" s="55" t="s">
        <v>145</v>
      </c>
      <c r="C29" s="37">
        <f>SUM(N29:AI29)</f>
        <v>216.99924565555278</v>
      </c>
      <c r="D29" s="37">
        <f t="shared" ref="D29:AD29" si="62">SUM(D30:D34)</f>
        <v>0</v>
      </c>
      <c r="E29" s="37">
        <f t="shared" si="62"/>
        <v>182.38240984249964</v>
      </c>
      <c r="F29" s="37">
        <f t="shared" si="62"/>
        <v>4.0681462842427658</v>
      </c>
      <c r="G29" s="37">
        <f t="shared" si="62"/>
        <v>156.72368581223751</v>
      </c>
      <c r="H29" s="37">
        <f t="shared" si="62"/>
        <v>156.72368581223751</v>
      </c>
      <c r="I29" s="37">
        <f t="shared" si="62"/>
        <v>69.764678295088601</v>
      </c>
      <c r="J29" s="37">
        <f t="shared" si="62"/>
        <v>69.764678295088601</v>
      </c>
      <c r="K29" s="37">
        <f t="shared" si="62"/>
        <v>69.764678295088601</v>
      </c>
      <c r="L29" s="37">
        <f t="shared" si="62"/>
        <v>19.212666804058102</v>
      </c>
      <c r="M29" s="37">
        <f t="shared" si="62"/>
        <v>8.3793146295066503</v>
      </c>
      <c r="N29" s="37">
        <f t="shared" si="62"/>
        <v>70.593224664942127</v>
      </c>
      <c r="O29" s="37">
        <f t="shared" si="62"/>
        <v>8.3349339501742694</v>
      </c>
      <c r="P29" s="37">
        <f>SUM(P30:P34)</f>
        <v>19.212666804058102</v>
      </c>
      <c r="Q29" s="37">
        <f t="shared" si="62"/>
        <v>0</v>
      </c>
      <c r="R29" s="37">
        <f t="shared" si="62"/>
        <v>38.214999999999996</v>
      </c>
      <c r="S29" s="37">
        <f t="shared" si="62"/>
        <v>63.897037190878287</v>
      </c>
      <c r="T29" s="37">
        <f t="shared" si="62"/>
        <v>0</v>
      </c>
      <c r="U29" s="37">
        <f t="shared" si="62"/>
        <v>0.22045710649999931</v>
      </c>
      <c r="V29" s="37">
        <f t="shared" si="62"/>
        <v>2.6280214589999997</v>
      </c>
      <c r="W29" s="37">
        <f t="shared" si="62"/>
        <v>0</v>
      </c>
      <c r="X29" s="37">
        <f t="shared" si="62"/>
        <v>13.897904480000026</v>
      </c>
      <c r="Y29" s="37"/>
      <c r="Z29" s="37"/>
      <c r="AA29" s="37">
        <f>SUM(AA30:AA34)</f>
        <v>0</v>
      </c>
      <c r="AB29" s="37">
        <f>SUM(AB30:AB34)</f>
        <v>0</v>
      </c>
      <c r="AC29" s="37">
        <f t="shared" si="62"/>
        <v>0</v>
      </c>
      <c r="AD29" s="37">
        <f t="shared" si="62"/>
        <v>0</v>
      </c>
      <c r="AE29" s="37">
        <f>SUM(AE30:AE34)</f>
        <v>0</v>
      </c>
      <c r="AF29" s="37">
        <f t="shared" ref="AF29:AI29" si="63">SUM(AF30:AF34)</f>
        <v>0</v>
      </c>
      <c r="AG29" s="37">
        <f t="shared" si="63"/>
        <v>0</v>
      </c>
      <c r="AH29" s="37">
        <f t="shared" si="63"/>
        <v>0</v>
      </c>
      <c r="AI29" s="37">
        <f t="shared" si="63"/>
        <v>0</v>
      </c>
      <c r="AJ29" s="37">
        <f>SUM(AJ30:AJ34)</f>
        <v>0</v>
      </c>
      <c r="AK29" s="37">
        <f t="shared" ref="AK29" si="64">SUM(AK30:AK34)</f>
        <v>0</v>
      </c>
      <c r="AL29" s="37">
        <f>SUM(AL30:AL34)</f>
        <v>0</v>
      </c>
    </row>
    <row r="30" spans="1:38" ht="18">
      <c r="A30" s="14">
        <v>1</v>
      </c>
      <c r="B30" s="53" t="s">
        <v>146</v>
      </c>
      <c r="C30" s="41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3"/>
      <c r="T30" s="42"/>
      <c r="U30" s="42"/>
      <c r="V30" s="42"/>
      <c r="W30" s="42"/>
      <c r="X30" s="42"/>
      <c r="Y30" s="19"/>
      <c r="Z30" s="42"/>
      <c r="AA30" s="42"/>
      <c r="AB30" s="42"/>
      <c r="AC30" s="42"/>
      <c r="AD30" s="42"/>
      <c r="AE30" s="42"/>
      <c r="AF30" s="42"/>
      <c r="AG30" s="42"/>
      <c r="AH30" s="42"/>
      <c r="AI30" s="44"/>
      <c r="AJ30" s="42"/>
      <c r="AK30" s="44"/>
      <c r="AL30" s="42"/>
    </row>
    <row r="31" spans="1:38">
      <c r="A31" s="14">
        <v>2</v>
      </c>
      <c r="B31" s="53" t="s">
        <v>147</v>
      </c>
      <c r="C31" s="41">
        <f>SUM(N31:AI31)</f>
        <v>106.91602777344778</v>
      </c>
      <c r="D31" s="42"/>
      <c r="E31" s="42">
        <v>24.766763927957374</v>
      </c>
      <c r="F31" s="42"/>
      <c r="G31" s="42">
        <v>80.673512903118208</v>
      </c>
      <c r="H31" s="42">
        <v>80.673512903118208</v>
      </c>
      <c r="I31" s="42">
        <v>47.449768632113795</v>
      </c>
      <c r="J31" s="42">
        <v>47.449768632113795</v>
      </c>
      <c r="K31" s="42">
        <v>47.449768632113795</v>
      </c>
      <c r="L31" s="42">
        <v>10.898544577992872</v>
      </c>
      <c r="M31" s="42">
        <v>0</v>
      </c>
      <c r="N31" s="42">
        <v>35.613355527423799</v>
      </c>
      <c r="O31" s="42">
        <v>-4.650777440003238E-4</v>
      </c>
      <c r="P31" s="42">
        <v>10.898544577992872</v>
      </c>
      <c r="Q31" s="42"/>
      <c r="R31" s="42">
        <v>15.78</v>
      </c>
      <c r="S31" s="42">
        <v>41.92952823067511</v>
      </c>
      <c r="T31" s="42"/>
      <c r="U31" s="42">
        <v>0.1726444696999993</v>
      </c>
      <c r="V31" s="42">
        <v>2.522420045400001</v>
      </c>
      <c r="W31" s="42">
        <v>0</v>
      </c>
      <c r="X31" s="42">
        <v>0</v>
      </c>
      <c r="Y31" s="19">
        <f t="shared" ref="Y31:Y34" si="65">Z31+AA31</f>
        <v>0</v>
      </c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</row>
    <row r="32" spans="1:38">
      <c r="A32" s="14">
        <v>3</v>
      </c>
      <c r="B32" s="53" t="s">
        <v>148</v>
      </c>
      <c r="C32" s="41">
        <f>SUM(N32:AI32)</f>
        <v>100.86388260828083</v>
      </c>
      <c r="D32" s="42"/>
      <c r="E32" s="42">
        <v>155.01962420724996</v>
      </c>
      <c r="F32" s="42">
        <v>4.0681462842427658</v>
      </c>
      <c r="G32" s="42">
        <v>61.628690759388917</v>
      </c>
      <c r="H32" s="42">
        <v>61.628690759388917</v>
      </c>
      <c r="I32" s="42">
        <v>22.314909662974809</v>
      </c>
      <c r="J32" s="42">
        <v>22.314909662974809</v>
      </c>
      <c r="K32" s="42">
        <v>22.314909662974809</v>
      </c>
      <c r="L32" s="42">
        <v>8.3141222260652317</v>
      </c>
      <c r="M32" s="42">
        <v>1.7483353315570835</v>
      </c>
      <c r="N32" s="42">
        <v>28.573295596711731</v>
      </c>
      <c r="O32" s="42">
        <v>5.5226372949006706</v>
      </c>
      <c r="P32" s="42">
        <v>8.3141222260652317</v>
      </c>
      <c r="Q32" s="42"/>
      <c r="R32" s="42">
        <v>22.434999999999999</v>
      </c>
      <c r="S32" s="42">
        <v>21.967508960203176</v>
      </c>
      <c r="T32" s="42"/>
      <c r="U32" s="42">
        <v>4.7812636799999995E-2</v>
      </c>
      <c r="V32" s="42">
        <v>0.10560141359999854</v>
      </c>
      <c r="W32" s="42">
        <v>0</v>
      </c>
      <c r="X32" s="42">
        <v>13.897904480000026</v>
      </c>
      <c r="Y32" s="19">
        <f t="shared" si="65"/>
        <v>0</v>
      </c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</row>
    <row r="33" spans="1:38">
      <c r="A33" s="14">
        <v>4</v>
      </c>
      <c r="B33" s="53" t="s">
        <v>149</v>
      </c>
      <c r="C33" s="41">
        <f>SUM(N33:AI33)</f>
        <v>9.219335273824198</v>
      </c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>
        <v>6.4065735408065994</v>
      </c>
      <c r="O33" s="42">
        <v>2.8127617330175991</v>
      </c>
      <c r="P33" s="42"/>
      <c r="Q33" s="42"/>
      <c r="R33" s="42"/>
      <c r="S33" s="42"/>
      <c r="T33" s="42"/>
      <c r="U33" s="42"/>
      <c r="V33" s="42">
        <v>0</v>
      </c>
      <c r="W33" s="42"/>
      <c r="X33" s="42">
        <v>0</v>
      </c>
      <c r="Y33" s="19">
        <f t="shared" si="65"/>
        <v>0</v>
      </c>
      <c r="Z33" s="42">
        <v>0</v>
      </c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</row>
    <row r="34" spans="1:38">
      <c r="A34" s="14">
        <v>5</v>
      </c>
      <c r="B34" s="53" t="s">
        <v>150</v>
      </c>
      <c r="C34" s="41">
        <f>SUM(N34:AI34)</f>
        <v>0</v>
      </c>
      <c r="D34" s="42"/>
      <c r="E34" s="42">
        <v>2.596021707292294</v>
      </c>
      <c r="F34" s="42"/>
      <c r="G34" s="42">
        <v>14.421482149730382</v>
      </c>
      <c r="H34" s="42">
        <v>14.421482149730382</v>
      </c>
      <c r="I34" s="42"/>
      <c r="J34" s="42"/>
      <c r="K34" s="42"/>
      <c r="L34" s="42"/>
      <c r="M34" s="42">
        <v>6.6309792979495672</v>
      </c>
      <c r="N34" s="42">
        <v>0</v>
      </c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19">
        <f t="shared" si="65"/>
        <v>0</v>
      </c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</row>
    <row r="37" spans="1:38">
      <c r="B37" s="45"/>
    </row>
    <row r="54" spans="2:38">
      <c r="O54" s="13">
        <v>243257433</v>
      </c>
    </row>
    <row r="55" spans="2:38">
      <c r="O55">
        <v>80</v>
      </c>
    </row>
    <row r="57" spans="2:38">
      <c r="C57" s="1"/>
      <c r="N57" s="1" t="str">
        <f>F1</f>
        <v>Подрядчик 1</v>
      </c>
      <c r="O57" s="1" t="s">
        <v>151</v>
      </c>
      <c r="Q57" s="1" t="str">
        <f>I1</f>
        <v>Подрядчик 3</v>
      </c>
      <c r="R57" s="1"/>
      <c r="S57" s="1"/>
      <c r="T57" s="1" t="str">
        <f>AB1</f>
        <v>Подрядчик 16</v>
      </c>
      <c r="U57" s="1" t="s">
        <v>3</v>
      </c>
      <c r="V57" s="8"/>
    </row>
    <row r="58" spans="2:38" ht="24">
      <c r="C58" s="1" t="s">
        <v>152</v>
      </c>
      <c r="N58" s="1" t="s">
        <v>153</v>
      </c>
      <c r="O58" s="1" t="s">
        <v>32</v>
      </c>
      <c r="Q58" s="1" t="s">
        <v>154</v>
      </c>
      <c r="R58" s="1"/>
      <c r="S58" s="1"/>
      <c r="T58" s="1" t="s">
        <v>155</v>
      </c>
      <c r="U58" s="1" t="s">
        <v>33</v>
      </c>
      <c r="V58" s="8"/>
    </row>
    <row r="59" spans="2:38">
      <c r="C59" s="1" t="s">
        <v>52</v>
      </c>
      <c r="N59" s="1">
        <v>89.79</v>
      </c>
      <c r="O59" s="1">
        <v>80</v>
      </c>
      <c r="Q59" s="1">
        <v>80</v>
      </c>
      <c r="R59" s="1"/>
      <c r="S59" s="1"/>
      <c r="T59" s="1"/>
      <c r="U59" s="1">
        <v>91.5</v>
      </c>
      <c r="V59" s="8"/>
    </row>
    <row r="60" spans="2:38" ht="36">
      <c r="C60" s="1" t="s">
        <v>156</v>
      </c>
      <c r="N60" s="46"/>
      <c r="O60" s="46">
        <f>243257433*O59/1000000</f>
        <v>19460.594639999999</v>
      </c>
      <c r="Q60" s="46">
        <f>75531076.13*Q59/1000000</f>
        <v>6042.4860903999997</v>
      </c>
      <c r="R60" s="46"/>
      <c r="S60" s="46"/>
      <c r="T60" s="46">
        <v>9163</v>
      </c>
      <c r="U60" s="46">
        <f>92336298*U59/1000000</f>
        <v>8448.7712670000001</v>
      </c>
      <c r="V60" s="8"/>
    </row>
    <row r="61" spans="2:38">
      <c r="B61" s="47"/>
      <c r="C61" s="48" t="s">
        <v>157</v>
      </c>
      <c r="L61" s="49"/>
      <c r="M61" s="50"/>
      <c r="N61" s="50" t="s">
        <v>158</v>
      </c>
      <c r="O61" s="50" t="s">
        <v>159</v>
      </c>
      <c r="P61" s="49"/>
      <c r="Q61" s="50" t="s">
        <v>159</v>
      </c>
      <c r="R61" s="50"/>
      <c r="S61" s="50"/>
      <c r="T61" s="50" t="s">
        <v>159</v>
      </c>
      <c r="U61" s="50" t="s">
        <v>159</v>
      </c>
      <c r="V61" s="50"/>
      <c r="W61" s="50"/>
      <c r="X61" s="50"/>
      <c r="Y61" s="49"/>
      <c r="Z61" s="49"/>
      <c r="AA61" s="49"/>
      <c r="AB61" s="50"/>
      <c r="AC61" s="50"/>
      <c r="AD61" s="50"/>
      <c r="AE61" s="50"/>
      <c r="AF61" s="50"/>
      <c r="AG61" s="50"/>
      <c r="AH61" s="50"/>
      <c r="AJ61" s="50"/>
      <c r="AL61" s="50"/>
    </row>
    <row r="62" spans="2:38">
      <c r="B62" s="47"/>
      <c r="C62" s="48" t="s">
        <v>160</v>
      </c>
      <c r="L62" s="49"/>
      <c r="M62" s="50"/>
      <c r="N62" s="50">
        <v>0</v>
      </c>
      <c r="O62" s="50" t="s">
        <v>161</v>
      </c>
      <c r="P62" s="49"/>
      <c r="Q62" s="50" t="s">
        <v>162</v>
      </c>
      <c r="R62" s="50"/>
      <c r="S62" s="50"/>
      <c r="T62" s="50" t="s">
        <v>163</v>
      </c>
      <c r="U62" s="50" t="s">
        <v>161</v>
      </c>
      <c r="V62" s="50"/>
      <c r="W62" s="50"/>
      <c r="X62" s="50"/>
      <c r="Y62" s="49"/>
      <c r="Z62" s="49"/>
      <c r="AA62" s="49"/>
      <c r="AB62" s="50"/>
      <c r="AC62" s="50"/>
      <c r="AD62" s="50"/>
      <c r="AE62" s="50"/>
      <c r="AF62" s="50"/>
      <c r="AG62" s="50"/>
      <c r="AH62" s="50"/>
      <c r="AJ62" s="50"/>
      <c r="AL62" s="50"/>
    </row>
    <row r="63" spans="2:38">
      <c r="B63" s="47"/>
      <c r="C63" s="48" t="s">
        <v>164</v>
      </c>
      <c r="L63" s="49"/>
      <c r="M63" s="50"/>
      <c r="N63" s="50" t="s">
        <v>165</v>
      </c>
      <c r="O63" s="50" t="s">
        <v>166</v>
      </c>
      <c r="P63" s="49"/>
      <c r="Q63" s="50" t="s">
        <v>166</v>
      </c>
      <c r="R63" s="50"/>
      <c r="S63" s="50"/>
      <c r="T63" s="50" t="s">
        <v>166</v>
      </c>
      <c r="U63" s="50" t="s">
        <v>166</v>
      </c>
      <c r="V63" s="50"/>
      <c r="W63" s="50"/>
      <c r="X63" s="50"/>
      <c r="Y63" s="49"/>
      <c r="Z63" s="49"/>
      <c r="AA63" s="49"/>
      <c r="AB63" s="50"/>
      <c r="AC63" s="50"/>
      <c r="AD63" s="50"/>
      <c r="AE63" s="50"/>
      <c r="AF63" s="50"/>
      <c r="AG63" s="50"/>
      <c r="AH63" s="50"/>
      <c r="AJ63" s="50"/>
      <c r="AL63" s="50"/>
    </row>
    <row r="64" spans="2:38">
      <c r="B64" s="47"/>
      <c r="C64" s="48" t="s">
        <v>167</v>
      </c>
      <c r="L64" s="49"/>
      <c r="M64" s="50"/>
      <c r="N64" s="50" t="s">
        <v>168</v>
      </c>
      <c r="O64" s="50" t="s">
        <v>166</v>
      </c>
      <c r="P64" s="49"/>
      <c r="Q64" s="50" t="s">
        <v>166</v>
      </c>
      <c r="R64" s="50"/>
      <c r="S64" s="50"/>
      <c r="T64" s="50" t="s">
        <v>166</v>
      </c>
      <c r="U64" s="50" t="s">
        <v>166</v>
      </c>
      <c r="V64" s="50"/>
      <c r="W64" s="50"/>
      <c r="X64" s="50"/>
      <c r="Y64" s="49"/>
      <c r="Z64" s="49"/>
      <c r="AA64" s="49"/>
      <c r="AB64" s="50"/>
      <c r="AC64" s="50"/>
      <c r="AD64" s="50"/>
      <c r="AE64" s="50"/>
      <c r="AF64" s="50"/>
      <c r="AG64" s="50"/>
      <c r="AH64" s="50"/>
      <c r="AJ64" s="50"/>
      <c r="AL64" s="50"/>
    </row>
    <row r="65" spans="2:38">
      <c r="B65" s="47"/>
      <c r="C65" s="48" t="s">
        <v>169</v>
      </c>
      <c r="L65" s="49"/>
      <c r="M65" s="50"/>
      <c r="N65" s="50" t="s">
        <v>170</v>
      </c>
      <c r="O65" s="50" t="s">
        <v>166</v>
      </c>
      <c r="P65" s="49"/>
      <c r="Q65" s="50" t="s">
        <v>166</v>
      </c>
      <c r="R65" s="50"/>
      <c r="S65" s="50"/>
      <c r="T65" s="50" t="s">
        <v>166</v>
      </c>
      <c r="U65" s="50" t="s">
        <v>166</v>
      </c>
      <c r="V65" s="50"/>
      <c r="W65" s="50"/>
      <c r="X65" s="50"/>
      <c r="Y65" s="49"/>
      <c r="Z65" s="49"/>
      <c r="AA65" s="49"/>
      <c r="AB65" s="50"/>
      <c r="AC65" s="50"/>
      <c r="AD65" s="50"/>
      <c r="AE65" s="50"/>
      <c r="AF65" s="50"/>
      <c r="AG65" s="50"/>
      <c r="AH65" s="50"/>
      <c r="AJ65" s="50"/>
      <c r="AL65" s="50"/>
    </row>
    <row r="67" spans="2:38">
      <c r="C67" s="51" t="s">
        <v>171</v>
      </c>
    </row>
    <row r="69" spans="2:38">
      <c r="C69" s="51" t="s">
        <v>172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БАЛАНС РУКОВОДСТВУ руб. с НДС</vt:lpstr>
      <vt:lpstr>Баланс ФЭК (валюта) с НДС</vt:lpstr>
      <vt:lpstr>Баланс ФЭК (валюта) без НДС</vt:lpstr>
      <vt:lpstr>Преза НЗП без НДС</vt:lpstr>
    </vt:vector>
  </TitlesOfParts>
  <Company>SIBUR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Оборин Дмитрий Юрьевич</dc:creator>
  <cp:lastModifiedBy>Оборин Дмитрий Юрьевич</cp:lastModifiedBy>
  <dcterms:created xsi:type="dcterms:W3CDTF">2026-09-30T12:00:37Z</dcterms:created>
  <dcterms:modified xsi:type="dcterms:W3CDTF">2026-09-30T12:06:36Z</dcterms:modified>
</cp:coreProperties>
</file>